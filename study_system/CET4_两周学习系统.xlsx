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设置与状态" sheetId="1" state="visible" r:id="rId1"/>
    <sheet xmlns:r="http://schemas.openxmlformats.org/officeDocument/2006/relationships" name="14天日历" sheetId="2" state="visible" r:id="rId2"/>
    <sheet xmlns:r="http://schemas.openxmlformats.org/officeDocument/2006/relationships" name="题库" sheetId="3" state="visible" r:id="rId3"/>
    <sheet xmlns:r="http://schemas.openxmlformats.org/officeDocument/2006/relationships" name="答案解析" sheetId="4" state="visible" r:id="rId4"/>
    <sheet xmlns:r="http://schemas.openxmlformats.org/officeDocument/2006/relationships" name="进度" sheetId="5" state="visible" r:id="rId5"/>
    <sheet xmlns:r="http://schemas.openxmlformats.org/officeDocument/2006/relationships" name="来源" sheetId="6" state="visible" r:id="rId6"/>
  </sheets>
  <definedNames>
    <definedName name="_xlnm._FilterDatabase" localSheetId="0" hidden="1">'设置与状态'!$A$1:$C$18</definedName>
    <definedName name="_xlnm.Print_Titles" localSheetId="0">'设置与状态'!$1:$1</definedName>
    <definedName name="_xlnm.Print_Area" localSheetId="0">'设置与状态'!$A$1:$C$18</definedName>
    <definedName name="_xlnm._FilterDatabase" localSheetId="1" hidden="1">'14天日历'!$A$1:$M$15</definedName>
    <definedName name="_xlnm.Print_Titles" localSheetId="1">'14天日历'!$1:$1</definedName>
    <definedName name="_xlnm.Print_Area" localSheetId="1">'14天日历'!$A$1:$M$15</definedName>
    <definedName name="_xlnm._FilterDatabase" localSheetId="2" hidden="1">'题库'!$A$1:$O$59</definedName>
    <definedName name="_xlnm.Print_Titles" localSheetId="2">'题库'!$1:$1</definedName>
    <definedName name="_xlnm.Print_Area" localSheetId="2">'题库'!$A$1:$O$59</definedName>
    <definedName name="_xlnm._FilterDatabase" localSheetId="3" hidden="1">'答案解析'!$A$1:$E$59</definedName>
    <definedName name="_xlnm.Print_Titles" localSheetId="3">'答案解析'!$1:$1</definedName>
    <definedName name="_xlnm.Print_Area" localSheetId="3">'答案解析'!$A$1:$E$59</definedName>
    <definedName name="_xlnm._FilterDatabase" localSheetId="4" hidden="1">'进度'!$A$1:$K$18</definedName>
    <definedName name="_xlnm.Print_Titles" localSheetId="4">'进度'!$1:$1</definedName>
    <definedName name="_xlnm.Print_Area" localSheetId="4">'进度'!$A$1:$K$18</definedName>
    <definedName name="_xlnm._FilterDatabase" localSheetId="5" hidden="1">'来源'!$A$1:$F$11</definedName>
    <definedName name="_xlnm.Print_Titles" localSheetId="5">'来源'!$1:$1</definedName>
    <definedName name="_xlnm.Print_Area" localSheetId="5">'来源'!$A$1:$F$11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 ddd"/>
    <numFmt numFmtId="166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EDF4F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165" fontId="0" fillId="4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9" fontId="0" fillId="4" borderId="1" applyAlignment="1" pivotButton="0" quotePrefix="0" xfId="0">
      <alignment vertical="top" wrapText="1"/>
    </xf>
    <xf numFmtId="166" fontId="0" fillId="4" borderId="1" applyAlignment="1" pivotButton="0" quotePrefix="0" xfId="0">
      <alignment vertical="top" wrapText="1"/>
    </xf>
    <xf numFmtId="9" fontId="0" fillId="0" borderId="1" applyAlignment="1" pivotButton="0" quotePrefix="0" xfId="0">
      <alignment vertical="top" wrapText="1"/>
    </xf>
    <xf numFmtId="166" fontId="0" fillId="0" borderId="1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58" customWidth="1" min="3" max="3"/>
  </cols>
  <sheetData>
    <row r="1" ht="32" customHeight="1">
      <c r="A1" s="1" t="inlineStr">
        <is>
          <t>字段</t>
        </is>
      </c>
      <c r="B1" s="1" t="inlineStr">
        <is>
          <t>填写值</t>
        </is>
      </c>
      <c r="C1" s="1" t="inlineStr">
        <is>
          <t>状态/说明</t>
        </is>
      </c>
    </row>
    <row r="2">
      <c r="A2" s="2" t="inlineStr">
        <is>
          <t>计划开始日</t>
        </is>
      </c>
      <c r="B2" s="3" t="n">
        <v>46288</v>
      </c>
      <c r="C2" s="2" t="inlineStr">
        <is>
          <t>可修改；14天日历日期会随之更新</t>
        </is>
      </c>
    </row>
    <row r="3">
      <c r="A3" s="4" t="inlineStr">
        <is>
          <t>每日计划保底分钟</t>
        </is>
      </c>
      <c r="B3" s="5" t="n">
        <v>30</v>
      </c>
      <c r="C3" s="4" t="inlineStr">
        <is>
          <t>用户指定：0.5小时</t>
        </is>
      </c>
    </row>
    <row r="4">
      <c r="A4" s="2" t="inlineStr">
        <is>
          <t>每日弹性容量分钟</t>
        </is>
      </c>
      <c r="B4" s="5" t="n">
        <v>120</v>
      </c>
      <c r="C4" s="2" t="inlineStr">
        <is>
          <t>用户确认：至少2小时以上；120为保守记录</t>
        </is>
      </c>
    </row>
    <row r="5">
      <c r="A5" s="4" t="inlineStr">
        <is>
          <t>计划考试日</t>
        </is>
      </c>
      <c r="B5" s="3" t="n">
        <v>46368</v>
      </c>
      <c r="C5" s="4" t="inlineStr">
        <is>
          <t>用户提供；最终以官方公告/准考证为准</t>
        </is>
      </c>
    </row>
    <row r="6">
      <c r="A6" s="2" t="inlineStr">
        <is>
          <t>目标</t>
        </is>
      </c>
      <c r="B6" s="5" t="inlineStr">
        <is>
          <t>主目标630+；冲刺650+</t>
        </is>
      </c>
      <c r="C6" s="2" t="inlineStr">
        <is>
          <t>满分710；630约第98百分位，650约第99</t>
        </is>
      </c>
    </row>
    <row r="7">
      <c r="A7" s="4" t="inlineStr">
        <is>
          <t>理论满分</t>
        </is>
      </c>
      <c r="B7" s="5" t="n">
        <v>710</v>
      </c>
      <c r="C7" s="4" t="inlineStr">
        <is>
          <t>官方报道总分满分；采用常模参照，不设及格线</t>
        </is>
      </c>
    </row>
    <row r="8">
      <c r="A8" s="2" t="inlineStr">
        <is>
          <t>当前阶段</t>
        </is>
      </c>
      <c r="B8" s="5" t="inlineStr">
        <is>
          <t>导学准备，尚未首刷</t>
        </is>
      </c>
      <c r="C8" s="2" t="inlineStr">
        <is>
          <t>Day1–7导学；达10/12后进入首刷</t>
        </is>
      </c>
    </row>
    <row r="9">
      <c r="A9" s="4" t="inlineStr">
        <is>
          <t>听力基线</t>
        </is>
      </c>
      <c r="B9" s="5" t="inlineStr">
        <is>
          <t>待Day8首刷</t>
        </is>
      </c>
      <c r="C9" s="4" t="inlineStr">
        <is>
          <t>不以跟做示范作为基线</t>
        </is>
      </c>
    </row>
    <row r="10">
      <c r="A10" s="2" t="inlineStr">
        <is>
          <t>阅读基线</t>
        </is>
      </c>
      <c r="B10" s="5" t="inlineStr">
        <is>
          <t>待Day9–10首刷</t>
        </is>
      </c>
      <c r="C10" s="2" t="inlineStr">
        <is>
          <t>分别记录三种题型</t>
        </is>
      </c>
    </row>
    <row r="11">
      <c r="A11" s="4" t="inlineStr">
        <is>
          <t>写作基线</t>
        </is>
      </c>
      <c r="B11" s="5" t="inlineStr">
        <is>
          <t>待Day11首稿</t>
        </is>
      </c>
      <c r="C11" s="4" t="inlineStr">
        <is>
          <t>用本系统8分训练量表</t>
        </is>
      </c>
    </row>
    <row r="12">
      <c r="A12" s="2" t="inlineStr">
        <is>
          <t>翻译基线</t>
        </is>
      </c>
      <c r="B12" s="5" t="inlineStr">
        <is>
          <t>待Day12首稿</t>
        </is>
      </c>
      <c r="C12" s="2" t="inlineStr">
        <is>
          <t>用本系统8分训练量表</t>
        </is>
      </c>
    </row>
    <row r="13">
      <c r="A13" s="4" t="inlineStr">
        <is>
          <t>课程标准</t>
        </is>
      </c>
      <c r="B13" s="5" t="inlineStr">
        <is>
          <t>全国大学英语四、六级考试大纲</t>
        </is>
      </c>
      <c r="C13" s="4" t="inlineStr">
        <is>
          <t>用户确认：同时作为考试标准与命题标准</t>
        </is>
      </c>
    </row>
    <row r="14">
      <c r="A14" s="2" t="inlineStr">
        <is>
          <t>课堂讲义</t>
        </is>
      </c>
      <c r="B14" s="5" t="inlineStr">
        <is>
          <t>无</t>
        </is>
      </c>
      <c r="C14" s="2" t="inlineStr">
        <is>
          <t>用户确认</t>
        </is>
      </c>
    </row>
    <row r="15">
      <c r="A15" s="4" t="inlineStr">
        <is>
          <t>指定阅读</t>
        </is>
      </c>
      <c r="B15" s="5" t="inlineStr">
        <is>
          <t>无</t>
        </is>
      </c>
      <c r="C15" s="4" t="inlineStr">
        <is>
          <t>用户确认</t>
        </is>
      </c>
    </row>
    <row r="16">
      <c r="A16" s="2" t="inlineStr">
        <is>
          <t>额外课程题集</t>
        </is>
      </c>
      <c r="B16" s="5" t="inlineStr">
        <is>
          <t>无</t>
        </is>
      </c>
      <c r="C16" s="2" t="inlineStr">
        <is>
          <t>使用当前真题资料库</t>
        </is>
      </c>
    </row>
    <row r="17">
      <c r="A17" s="4" t="inlineStr">
        <is>
          <t>历次小测</t>
        </is>
      </c>
      <c r="B17" s="5" t="inlineStr">
        <is>
          <t>无</t>
        </is>
      </c>
      <c r="C17" s="4" t="inlineStr">
        <is>
          <t>用户确认；尚未首刷</t>
        </is>
      </c>
    </row>
    <row r="18">
      <c r="A18" s="2" t="inlineStr">
        <is>
          <t>建议执行档</t>
        </is>
      </c>
      <c r="B18" s="5">
        <f>IF(B3&lt;=30,"30分钟保底；按120+分钟容量自愿扩展","自定义保底")</f>
        <v/>
      </c>
      <c r="C18" s="2" t="inlineStr">
        <is>
          <t>保底不是上限；完整模拟需连续约150分钟</t>
        </is>
      </c>
    </row>
  </sheetData>
  <autoFilter ref="A1:C18"/>
  <pageMargins left="0.25" right="0.25" top="0.4" bottom="0.4" header="0.5" footer="0.5"/>
  <pageSetup orientation="portrait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5" customWidth="1" min="2" max="2"/>
    <col width="29" customWidth="1" min="3" max="3"/>
    <col width="21" customWidth="1" min="4" max="4"/>
    <col width="34" customWidth="1" min="5" max="5"/>
    <col width="31" customWidth="1" min="6" max="6"/>
    <col width="32" customWidth="1" min="7" max="7"/>
    <col width="30" customWidth="1" min="8" max="8"/>
    <col width="11" customWidth="1" min="9" max="9"/>
    <col width="11" customWidth="1" min="10" max="10"/>
    <col width="14" customWidth="1" min="11" max="11"/>
    <col width="26" customWidth="1" min="12" max="12"/>
    <col width="15" customWidth="1" min="13" max="13"/>
  </cols>
  <sheetData>
    <row r="1" ht="32" customHeight="1">
      <c r="A1" s="1" t="inlineStr">
        <is>
          <t>Day</t>
        </is>
      </c>
      <c r="B1" s="1" t="inlineStr">
        <is>
          <t>日期</t>
        </is>
      </c>
      <c r="C1" s="1" t="inlineStr">
        <is>
          <t>阶段</t>
        </is>
      </c>
      <c r="D1" s="1" t="inlineStr">
        <is>
          <t>导学题/到期复习</t>
        </is>
      </c>
      <c r="E1" s="1" t="inlineStr">
        <is>
          <t>30分钟保底</t>
        </is>
      </c>
      <c r="F1" s="1" t="inlineStr">
        <is>
          <t>扩展到60分钟</t>
        </is>
      </c>
      <c r="G1" s="1" t="inlineStr">
        <is>
          <t>使用120+分钟容量</t>
        </is>
      </c>
      <c r="H1" s="1" t="inlineStr">
        <is>
          <t>可验证产出</t>
        </is>
      </c>
      <c r="I1" s="1" t="inlineStr">
        <is>
          <t>完成状态</t>
        </is>
      </c>
      <c r="J1" s="1" t="inlineStr">
        <is>
          <t>实际分钟</t>
        </is>
      </c>
      <c r="K1" s="1" t="inlineStr">
        <is>
          <t>正确率/得分</t>
        </is>
      </c>
      <c r="L1" s="1" t="inlineStr">
        <is>
          <t>错误代码/备注</t>
        </is>
      </c>
      <c r="M1" s="1" t="inlineStr">
        <is>
          <t>下次复习日</t>
        </is>
      </c>
    </row>
    <row r="2">
      <c r="A2" s="2" t="n">
        <v>1</v>
      </c>
      <c r="B2" s="6">
        <f>'设置与状态'!$B$2+0</f>
        <v/>
      </c>
      <c r="C2" s="2" t="inlineStr">
        <is>
          <t>导学1：课程标准与分数</t>
        </is>
      </c>
      <c r="D2" s="2" t="inlineStr">
        <is>
          <t>G01–G03</t>
        </is>
      </c>
      <c r="E2" s="2" t="inlineStr">
        <is>
          <t>读大纲定位、卷面结构、常模分数</t>
        </is>
      </c>
      <c r="F2" s="2" t="inlineStr">
        <is>
          <t>手绘四板块结构与分值</t>
        </is>
      </c>
      <c r="G2" s="2" t="inlineStr">
        <is>
          <t>建立官方要求/系统方法/未验证三栏笔记</t>
        </is>
      </c>
      <c r="H2" s="2" t="inlineStr">
        <is>
          <t>能解释710、无及格线、630+/650+目标</t>
        </is>
      </c>
      <c r="I2" s="2" t="inlineStr">
        <is>
          <t>未开始</t>
        </is>
      </c>
      <c r="J2" s="2" t="inlineStr"/>
      <c r="K2" s="2" t="inlineStr"/>
      <c r="L2" s="2" t="inlineStr"/>
      <c r="M2" s="2" t="inlineStr"/>
    </row>
    <row r="3">
      <c r="A3" s="4" t="n">
        <v>2</v>
      </c>
      <c r="B3" s="7">
        <f>'设置与状态'!$B$2+1</f>
        <v/>
      </c>
      <c r="C3" s="4" t="inlineStr">
        <is>
          <t>导学2：听力</t>
        </is>
      </c>
      <c r="D3" s="4" t="inlineStr">
        <is>
          <t>G04、G09</t>
        </is>
      </c>
      <c r="E3" s="4" t="inlineStr">
        <is>
          <t>学官方听力目标、材料类型与一次播放流程</t>
        </is>
      </c>
      <c r="F3" s="4" t="inlineStr">
        <is>
          <t>只分析Directions和选项差异</t>
        </is>
      </c>
      <c r="G3" s="4" t="inlineStr">
        <is>
          <t>听1段时看文字稿，标主旨/细节/转折/态度</t>
        </is>
      </c>
      <c r="H3" s="4" t="inlineStr">
        <is>
          <t>听力证据清单；不记录正确率</t>
        </is>
      </c>
      <c r="I3" s="4" t="inlineStr">
        <is>
          <t>未开始</t>
        </is>
      </c>
      <c r="J3" s="4" t="inlineStr"/>
      <c r="K3" s="4" t="inlineStr"/>
      <c r="L3" s="4" t="inlineStr"/>
      <c r="M3" s="4" t="inlineStr"/>
    </row>
    <row r="4">
      <c r="A4" s="2" t="n">
        <v>3</v>
      </c>
      <c r="B4" s="6">
        <f>'设置与状态'!$B$2+2</f>
        <v/>
      </c>
      <c r="C4" s="2" t="inlineStr">
        <is>
          <t>导学3：阅读</t>
        </is>
      </c>
      <c r="D4" s="2" t="inlineStr">
        <is>
          <t>G05、G08</t>
        </is>
      </c>
      <c r="E4" s="2" t="inlineStr">
        <is>
          <t>学三种题型和官方阅读技能</t>
        </is>
      </c>
      <c r="F4" s="2" t="inlineStr">
        <is>
          <t>示范词性槽、锚点、证据句</t>
        </is>
      </c>
      <c r="G4" s="2" t="inlineStr">
        <is>
          <t>拆3个长句并复述逻辑关系</t>
        </is>
      </c>
      <c r="H4" s="2" t="inlineStr">
        <is>
          <t>阅读题型决策树</t>
        </is>
      </c>
      <c r="I4" s="2" t="inlineStr">
        <is>
          <t>未开始</t>
        </is>
      </c>
      <c r="J4" s="2" t="inlineStr"/>
      <c r="K4" s="2" t="inlineStr"/>
      <c r="L4" s="2" t="inlineStr"/>
      <c r="M4" s="2" t="inlineStr"/>
    </row>
    <row r="5">
      <c r="A5" s="4" t="n">
        <v>4</v>
      </c>
      <c r="B5" s="7">
        <f>'设置与状态'!$B$2+3</f>
        <v/>
      </c>
      <c r="C5" s="4" t="inlineStr">
        <is>
          <t>导学4：写作</t>
        </is>
      </c>
      <c r="D5" s="4" t="inlineStr">
        <is>
          <t>G06</t>
        </is>
      </c>
      <c r="E5" s="4" t="inlineStr">
        <is>
          <t>学审题四问与30分钟流程</t>
        </is>
      </c>
      <c r="F5" s="4" t="inlineStr">
        <is>
          <t>W01只做审题和三段提纲</t>
        </is>
      </c>
      <c r="G5" s="4" t="inlineStr">
        <is>
          <t>比较两个立场提纲并检查任务维度</t>
        </is>
      </c>
      <c r="H5" s="4" t="inlineStr">
        <is>
          <t>一页写作检查表</t>
        </is>
      </c>
      <c r="I5" s="4" t="inlineStr">
        <is>
          <t>未开始</t>
        </is>
      </c>
      <c r="J5" s="4" t="inlineStr"/>
      <c r="K5" s="4" t="inlineStr"/>
      <c r="L5" s="4" t="inlineStr"/>
      <c r="M5" s="4" t="inlineStr"/>
    </row>
    <row r="6">
      <c r="A6" s="2" t="n">
        <v>5</v>
      </c>
      <c r="B6" s="6">
        <f>'设置与状态'!$B$2+4</f>
        <v/>
      </c>
      <c r="C6" s="2" t="inlineStr">
        <is>
          <t>导学5：翻译</t>
        </is>
      </c>
      <c r="D6" s="2" t="inlineStr">
        <is>
          <t>G07</t>
        </is>
      </c>
      <c r="E6" s="2" t="inlineStr">
        <is>
          <t>学意群切分、定主谓、信息核对</t>
        </is>
      </c>
      <c r="F6" s="2" t="inlineStr">
        <is>
          <t>T01只切意群和定主谓</t>
        </is>
      </c>
      <c r="G6" s="2" t="inlineStr">
        <is>
          <t>选3句比较多种自然表达</t>
        </is>
      </c>
      <c r="H6" s="2" t="inlineStr">
        <is>
          <t>一页翻译检查表</t>
        </is>
      </c>
      <c r="I6" s="2" t="inlineStr">
        <is>
          <t>未开始</t>
        </is>
      </c>
      <c r="J6" s="2" t="inlineStr"/>
      <c r="K6" s="2" t="inlineStr"/>
      <c r="L6" s="2" t="inlineStr"/>
      <c r="M6" s="2" t="inlineStr"/>
    </row>
    <row r="7">
      <c r="A7" s="4" t="n">
        <v>6</v>
      </c>
      <c r="B7" s="7">
        <f>'设置与状态'!$B$2+5</f>
        <v/>
      </c>
      <c r="C7" s="4" t="inlineStr">
        <is>
          <t>导学6：考场系统</t>
        </is>
      </c>
      <c r="D7" s="4" t="inlineStr">
        <is>
          <t>G10–G12</t>
        </is>
      </c>
      <c r="E7" s="4" t="inlineStr">
        <is>
          <t>学作答顺序、时间边界和错误代码</t>
        </is>
      </c>
      <c r="F7" s="4" t="inlineStr">
        <is>
          <t>模拟填写一次答题记录</t>
        </is>
      </c>
      <c r="G7" s="4" t="inlineStr">
        <is>
          <t>制作个人答题页：时间/信心/证据/错因</t>
        </is>
      </c>
      <c r="H7" s="4" t="inlineStr">
        <is>
          <t>可复用答题记录模板</t>
        </is>
      </c>
      <c r="I7" s="4" t="inlineStr">
        <is>
          <t>未开始</t>
        </is>
      </c>
      <c r="J7" s="4" t="inlineStr"/>
      <c r="K7" s="4" t="inlineStr"/>
      <c r="L7" s="4" t="inlineStr"/>
      <c r="M7" s="4" t="inlineStr"/>
    </row>
    <row r="8">
      <c r="A8" s="2" t="n">
        <v>7</v>
      </c>
      <c r="B8" s="6">
        <f>'设置与状态'!$B$2+6</f>
        <v/>
      </c>
      <c r="C8" s="2" t="inlineStr">
        <is>
          <t>导学结业检查</t>
        </is>
      </c>
      <c r="D8" s="2" t="inlineStr">
        <is>
          <t>G01–G12闭卷</t>
        </is>
      </c>
      <c r="E8" s="2" t="inlineStr">
        <is>
          <t>完成12题并立即重答错题</t>
        </is>
      </c>
      <c r="F8" s="2" t="inlineStr">
        <is>
          <t>口述四板块考什么/怎么做/怎么验</t>
        </is>
      </c>
      <c r="G8" s="2" t="inlineStr">
        <is>
          <t>未达10/12回看大纲；达标才进入首刷</t>
        </is>
      </c>
      <c r="H8" s="2" t="inlineStr">
        <is>
          <t>导学≥10/12；首刷准入</t>
        </is>
      </c>
      <c r="I8" s="2" t="inlineStr">
        <is>
          <t>未开始</t>
        </is>
      </c>
      <c r="J8" s="2" t="inlineStr"/>
      <c r="K8" s="2" t="inlineStr"/>
      <c r="L8" s="2" t="inlineStr"/>
      <c r="M8" s="2" t="inlineStr"/>
    </row>
    <row r="9">
      <c r="A9" s="4" t="n">
        <v>8</v>
      </c>
      <c r="B9" s="7">
        <f>'设置与状态'!$B$2+7</f>
        <v/>
      </c>
      <c r="C9" s="4" t="inlineStr">
        <is>
          <t>第一次刷题：听力</t>
        </is>
      </c>
      <c r="D9" s="4" t="inlineStr">
        <is>
          <t>无</t>
        </is>
      </c>
      <c r="E9" s="4" t="inlineStr">
        <is>
          <t>2026/06第1套Q1–10一遍作答并记信心</t>
        </is>
      </c>
      <c r="F9" s="4" t="inlineStr">
        <is>
          <t>证据回听与L01–L10订正</t>
        </is>
      </c>
      <c r="G9" s="4" t="inlineStr">
        <is>
          <t>完成Q1–25并逐题写错因</t>
        </is>
      </c>
      <c r="H9" s="4" t="inlineStr">
        <is>
          <t>第一份真实首答数据</t>
        </is>
      </c>
      <c r="I9" s="4" t="inlineStr">
        <is>
          <t>未开始</t>
        </is>
      </c>
      <c r="J9" s="4" t="inlineStr"/>
      <c r="K9" s="4" t="inlineStr"/>
      <c r="L9" s="4" t="inlineStr"/>
      <c r="M9" s="4" t="inlineStr"/>
    </row>
    <row r="10">
      <c r="A10" s="2" t="n">
        <v>9</v>
      </c>
      <c r="B10" s="6">
        <f>'设置与状态'!$B$2+8</f>
        <v/>
      </c>
      <c r="C10" s="2" t="inlineStr">
        <is>
          <t>第一次刷题：阅读A/B</t>
        </is>
      </c>
      <c r="D10" s="2" t="inlineStr">
        <is>
          <t>Day8 D+1</t>
        </is>
      </c>
      <c r="E10" s="2" t="inlineStr">
        <is>
          <t>V01–V10首答，先写词性槽</t>
        </is>
      </c>
      <c r="F10" s="2" t="inlineStr">
        <is>
          <t>加M01–M10，先强后弱</t>
        </is>
      </c>
      <c r="G10" s="2" t="inlineStr">
        <is>
          <t>全部订正并建D+1/D+3/D+7队列</t>
        </is>
      </c>
      <c r="H10" s="2" t="inlineStr">
        <is>
          <t>选词/匹配首答正确率与用时</t>
        </is>
      </c>
      <c r="I10" s="2" t="inlineStr">
        <is>
          <t>未开始</t>
        </is>
      </c>
      <c r="J10" s="2" t="inlineStr"/>
      <c r="K10" s="2" t="inlineStr"/>
      <c r="L10" s="2" t="inlineStr"/>
      <c r="M10" s="2" t="inlineStr"/>
    </row>
    <row r="11">
      <c r="A11" s="4" t="n">
        <v>10</v>
      </c>
      <c r="B11" s="7">
        <f>'设置与状态'!$B$2+9</f>
        <v/>
      </c>
      <c r="C11" s="4" t="inlineStr">
        <is>
          <t>第一次刷题：仔细阅读</t>
        </is>
      </c>
      <c r="D11" s="4" t="inlineStr">
        <is>
          <t>Day8 D+1</t>
        </is>
      </c>
      <c r="E11" s="4" t="inlineStr">
        <is>
          <t>R01–R05首答并写定位句</t>
        </is>
      </c>
      <c r="F11" s="4" t="inlineStr">
        <is>
          <t>加R06–R10</t>
        </is>
      </c>
      <c r="G11" s="4" t="inlineStr">
        <is>
          <t>逐项解释错误选项为什么错</t>
        </is>
      </c>
      <c r="H11" s="4" t="inlineStr">
        <is>
          <t>仔细阅读正确率、证据定位率</t>
        </is>
      </c>
      <c r="I11" s="4" t="inlineStr">
        <is>
          <t>未开始</t>
        </is>
      </c>
      <c r="J11" s="4" t="inlineStr"/>
      <c r="K11" s="4" t="inlineStr"/>
      <c r="L11" s="4" t="inlineStr"/>
      <c r="M11" s="4" t="inlineStr"/>
    </row>
    <row r="12">
      <c r="A12" s="2" t="n">
        <v>11</v>
      </c>
      <c r="B12" s="6">
        <f>'设置与状态'!$B$2+10</f>
        <v/>
      </c>
      <c r="C12" s="2" t="inlineStr">
        <is>
          <t>第一次输出：写作</t>
        </is>
      </c>
      <c r="D12" s="2" t="inlineStr">
        <is>
          <t>Day8 D+3；Day9 D+1</t>
        </is>
      </c>
      <c r="E12" s="2" t="inlineStr">
        <is>
          <t>W01限时30分钟首稿</t>
        </is>
      </c>
      <c r="F12" s="2" t="inlineStr">
        <is>
          <t>用8分量表自评并修订</t>
        </is>
      </c>
      <c r="G12" s="2" t="inlineStr">
        <is>
          <t>写W02提纲并提取重复错误</t>
        </is>
      </c>
      <c r="H12" s="2" t="inlineStr">
        <is>
          <t>原稿、量表、修订稿</t>
        </is>
      </c>
      <c r="I12" s="2" t="inlineStr">
        <is>
          <t>未开始</t>
        </is>
      </c>
      <c r="J12" s="2" t="inlineStr"/>
      <c r="K12" s="2" t="inlineStr"/>
      <c r="L12" s="2" t="inlineStr"/>
      <c r="M12" s="2" t="inlineStr"/>
    </row>
    <row r="13">
      <c r="A13" s="4" t="n">
        <v>12</v>
      </c>
      <c r="B13" s="7">
        <f>'设置与状态'!$B$2+11</f>
        <v/>
      </c>
      <c r="C13" s="4" t="inlineStr">
        <is>
          <t>第一次输出：翻译</t>
        </is>
      </c>
      <c r="D13" s="4" t="inlineStr">
        <is>
          <t>Day9 D+3；Day10 D+1</t>
        </is>
      </c>
      <c r="E13" s="4" t="inlineStr">
        <is>
          <t>T01限时30分钟</t>
        </is>
      </c>
      <c r="F13" s="4" t="inlineStr">
        <is>
          <t>检查信息块并修订</t>
        </is>
      </c>
      <c r="G13" s="4" t="inlineStr">
        <is>
          <t>用T02做3句迁移</t>
        </is>
      </c>
      <c r="H13" s="4" t="inlineStr">
        <is>
          <t>原稿、漏译率、修订稿</t>
        </is>
      </c>
      <c r="I13" s="4" t="inlineStr">
        <is>
          <t>未开始</t>
        </is>
      </c>
      <c r="J13" s="4" t="inlineStr"/>
      <c r="K13" s="4" t="inlineStr"/>
      <c r="L13" s="4" t="inlineStr"/>
      <c r="M13" s="4" t="inlineStr"/>
    </row>
    <row r="14">
      <c r="A14" s="2" t="n">
        <v>13</v>
      </c>
      <c r="B14" s="6">
        <f>'设置与状态'!$B$2+12</f>
        <v/>
      </c>
      <c r="C14" s="2" t="inlineStr">
        <is>
          <t>首轮复盘</t>
        </is>
      </c>
      <c r="D14" s="2" t="inlineStr">
        <is>
          <t>到期D+1/D+3</t>
        </is>
      </c>
      <c r="E14" s="2" t="inlineStr">
        <is>
          <t>重做到期项并更新错因</t>
        </is>
      </c>
      <c r="F14" s="2" t="inlineStr">
        <is>
          <t>汇总四板块Top 3瓶颈</t>
        </is>
      </c>
      <c r="G14" s="2" t="inlineStr">
        <is>
          <t>最低项做一组换材料迁移</t>
        </is>
      </c>
      <c r="H14" s="2" t="inlineStr">
        <is>
          <t>首答与复测对照、瓶颈清单</t>
        </is>
      </c>
      <c r="I14" s="2" t="inlineStr">
        <is>
          <t>未开始</t>
        </is>
      </c>
      <c r="J14" s="2" t="inlineStr"/>
      <c r="K14" s="2" t="inlineStr"/>
      <c r="L14" s="2" t="inlineStr"/>
      <c r="M14" s="2" t="inlineStr"/>
    </row>
    <row r="15">
      <c r="A15" s="4" t="n">
        <v>14</v>
      </c>
      <c r="B15" s="7">
        <f>'设置与状态'!$B$2+13</f>
        <v/>
      </c>
      <c r="C15" s="4" t="inlineStr">
        <is>
          <t>第一次整卷</t>
        </is>
      </c>
      <c r="D15" s="4" t="inlineStr">
        <is>
          <t>导学与流程回忆</t>
        </is>
      </c>
      <c r="E15" s="4" t="inlineStr">
        <is>
          <t>30分钟流程回忆；无连续时段则改复测日</t>
        </is>
      </c>
      <c r="F15" s="4" t="inlineStr">
        <is>
          <t>不把60分钟分段题称为完整模拟</t>
        </is>
      </c>
      <c r="G15" s="4" t="inlineStr">
        <is>
          <t>连续约150分钟：2025/12第1套125分钟+复盘25</t>
        </is>
      </c>
      <c r="H15" s="4" t="inlineStr">
        <is>
          <t>首次完整基线；分段须标非模拟</t>
        </is>
      </c>
      <c r="I15" s="4" t="inlineStr">
        <is>
          <t>未开始</t>
        </is>
      </c>
      <c r="J15" s="4" t="inlineStr"/>
      <c r="K15" s="4" t="inlineStr"/>
      <c r="L15" s="4" t="inlineStr"/>
      <c r="M15" s="4" t="inlineStr"/>
    </row>
  </sheetData>
  <autoFilter ref="A1:M15"/>
  <conditionalFormatting sqref="I2:I15">
    <cfRule type="cellIs" priority="1" operator="equal" dxfId="0">
      <formula>"已完成"</formula>
    </cfRule>
    <cfRule type="cellIs" priority="2" operator="equal" dxfId="1">
      <formula>"跳过"</formula>
    </cfRule>
  </conditionalFormatting>
  <dataValidations count="1">
    <dataValidation sqref="I2:I15" showDropDown="0" showInputMessage="0" showErrorMessage="0" allowBlank="0" type="list">
      <formula1>"未开始,进行中,已完成,跳过"</formula1>
    </dataValidation>
  </dataValidations>
  <pageMargins left="0.25" right="0.25" top="0.4" bottom="0.4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O5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8" customWidth="1" min="3" max="3"/>
    <col width="24" customWidth="1" min="4" max="4"/>
    <col width="44" customWidth="1" min="5" max="5"/>
    <col width="9" customWidth="1" min="6" max="6"/>
    <col width="14" customWidth="1" min="7" max="7"/>
    <col width="11" customWidth="1" min="8" max="8"/>
    <col width="10" customWidth="1" min="9" max="9"/>
    <col width="14" customWidth="1" min="10" max="10"/>
    <col width="35" customWidth="1" min="11" max="11"/>
    <col width="12" customWidth="1" min="12" max="12"/>
    <col width="12" customWidth="1" min="13" max="13"/>
    <col width="12" customWidth="1" min="14" max="14"/>
    <col width="13" customWidth="1" min="15" max="15"/>
  </cols>
  <sheetData>
    <row r="1" ht="32" customHeight="1">
      <c r="A1" s="1" t="inlineStr">
        <is>
          <t>ID</t>
        </is>
      </c>
      <c r="B1" s="1" t="inlineStr">
        <is>
          <t>板块</t>
        </is>
      </c>
      <c r="C1" s="1" t="inlineStr">
        <is>
          <t>来源</t>
        </is>
      </c>
      <c r="D1" s="1" t="inlineStr">
        <is>
          <t>题位</t>
        </is>
      </c>
      <c r="E1" s="1" t="inlineStr">
        <is>
          <t>任务</t>
        </is>
      </c>
      <c r="F1" s="1" t="inlineStr">
        <is>
          <t>计划日</t>
        </is>
      </c>
      <c r="G1" s="1" t="inlineStr">
        <is>
          <t>首次答案</t>
        </is>
      </c>
      <c r="H1" s="1" t="inlineStr">
        <is>
          <t>首次对错</t>
        </is>
      </c>
      <c r="I1" s="1" t="inlineStr">
        <is>
          <t>信心1-4</t>
        </is>
      </c>
      <c r="J1" s="1" t="inlineStr">
        <is>
          <t>错误代码</t>
        </is>
      </c>
      <c r="K1" s="1" t="inlineStr">
        <is>
          <t>证据/理由</t>
        </is>
      </c>
      <c r="L1" s="1" t="inlineStr">
        <is>
          <t>D+1</t>
        </is>
      </c>
      <c r="M1" s="1" t="inlineStr">
        <is>
          <t>D+3</t>
        </is>
      </c>
      <c r="N1" s="1" t="inlineStr">
        <is>
          <t>D+7</t>
        </is>
      </c>
      <c r="O1" s="1" t="inlineStr">
        <is>
          <t>状态</t>
        </is>
      </c>
    </row>
    <row r="2">
      <c r="A2" s="2" t="inlineStr">
        <is>
          <t>G01</t>
        </is>
      </c>
      <c r="B2" s="2" t="inlineStr">
        <is>
          <t>大纲导学</t>
        </is>
      </c>
      <c r="C2" s="2" t="inlineStr">
        <is>
          <t>官方分数解释</t>
        </is>
      </c>
      <c r="D2" s="2" t="inlineStr">
        <is>
          <t>导学题</t>
        </is>
      </c>
      <c r="E2" s="2" t="inlineStr">
        <is>
          <t>CET4报道总分满分是多少？</t>
        </is>
      </c>
      <c r="F2" s="2" t="n">
        <v>1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>
        <is>
          <t>未开始</t>
        </is>
      </c>
    </row>
    <row r="3">
      <c r="A3" s="4" t="inlineStr">
        <is>
          <t>G02</t>
        </is>
      </c>
      <c r="B3" s="4" t="inlineStr">
        <is>
          <t>大纲导学</t>
        </is>
      </c>
      <c r="C3" s="4" t="inlineStr">
        <is>
          <t>官方分数解释</t>
        </is>
      </c>
      <c r="D3" s="4" t="inlineStr">
        <is>
          <t>导学题</t>
        </is>
      </c>
      <c r="E3" s="4" t="inlineStr">
        <is>
          <t>CET4是否设官方及格线？</t>
        </is>
      </c>
      <c r="F3" s="4" t="n">
        <v>1</v>
      </c>
      <c r="G3" s="4" t="inlineStr"/>
      <c r="H3" s="4" t="inlineStr"/>
      <c r="I3" s="4" t="inlineStr"/>
      <c r="J3" s="4" t="inlineStr"/>
      <c r="K3" s="4" t="inlineStr"/>
      <c r="L3" s="4" t="inlineStr"/>
      <c r="M3" s="4" t="inlineStr"/>
      <c r="N3" s="4" t="inlineStr"/>
      <c r="O3" s="4" t="inlineStr">
        <is>
          <t>未开始</t>
        </is>
      </c>
    </row>
    <row r="4">
      <c r="A4" s="2" t="inlineStr">
        <is>
          <t>G03</t>
        </is>
      </c>
      <c r="B4" s="2" t="inlineStr">
        <is>
          <t>大纲导学</t>
        </is>
      </c>
      <c r="C4" s="2" t="inlineStr">
        <is>
          <t>官方分数解释</t>
        </is>
      </c>
      <c r="D4" s="2" t="inlineStr">
        <is>
          <t>导学题</t>
        </is>
      </c>
      <c r="E4" s="2" t="inlineStr">
        <is>
          <t>听力、阅读、写译的占比和满分？</t>
        </is>
      </c>
      <c r="F4" s="2" t="n">
        <v>1</v>
      </c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>
        <is>
          <t>未开始</t>
        </is>
      </c>
    </row>
    <row r="5">
      <c r="A5" s="4" t="inlineStr">
        <is>
          <t>G04</t>
        </is>
      </c>
      <c r="B5" s="4" t="inlineStr">
        <is>
          <t>大纲导学</t>
        </is>
      </c>
      <c r="C5" s="4" t="inlineStr">
        <is>
          <t>官方考试大纲</t>
        </is>
      </c>
      <c r="D5" s="4" t="inlineStr">
        <is>
          <t>导学题</t>
        </is>
      </c>
      <c r="E5" s="4" t="inlineStr">
        <is>
          <t>官方听力能力除听见单词外还考什么？</t>
        </is>
      </c>
      <c r="F5" s="4" t="n">
        <v>2</v>
      </c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>
        <is>
          <t>未开始</t>
        </is>
      </c>
    </row>
    <row r="6">
      <c r="A6" s="2" t="inlineStr">
        <is>
          <t>G05</t>
        </is>
      </c>
      <c r="B6" s="2" t="inlineStr">
        <is>
          <t>大纲导学</t>
        </is>
      </c>
      <c r="C6" s="2" t="inlineStr">
        <is>
          <t>官方考试大纲</t>
        </is>
      </c>
      <c r="D6" s="2" t="inlineStr">
        <is>
          <t>导学题</t>
        </is>
      </c>
      <c r="E6" s="2" t="inlineStr">
        <is>
          <t>官方阅读能力包含哪些核心动作？</t>
        </is>
      </c>
      <c r="F6" s="2" t="n">
        <v>3</v>
      </c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未开始</t>
        </is>
      </c>
    </row>
    <row r="7">
      <c r="A7" s="4" t="inlineStr">
        <is>
          <t>G06</t>
        </is>
      </c>
      <c r="B7" s="4" t="inlineStr">
        <is>
          <t>大纲导学</t>
        </is>
      </c>
      <c r="C7" s="4" t="inlineStr">
        <is>
          <t>官方考试大纲</t>
        </is>
      </c>
      <c r="D7" s="4" t="inlineStr">
        <is>
          <t>导学题</t>
        </is>
      </c>
      <c r="E7" s="4" t="inlineStr">
        <is>
          <t>四级写作最低官方产出要求？</t>
        </is>
      </c>
      <c r="F7" s="4" t="n">
        <v>4</v>
      </c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>
        <is>
          <t>未开始</t>
        </is>
      </c>
    </row>
    <row r="8">
      <c r="A8" s="2" t="inlineStr">
        <is>
          <t>G07</t>
        </is>
      </c>
      <c r="B8" s="2" t="inlineStr">
        <is>
          <t>大纲导学</t>
        </is>
      </c>
      <c r="C8" s="2" t="inlineStr">
        <is>
          <t>官方考试大纲</t>
        </is>
      </c>
      <c r="D8" s="2" t="inlineStr">
        <is>
          <t>导学题</t>
        </is>
      </c>
      <c r="E8" s="2" t="inlineStr">
        <is>
          <t>四级翻译官方要求？</t>
        </is>
      </c>
      <c r="F8" s="2" t="n">
        <v>5</v>
      </c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>
        <is>
          <t>未开始</t>
        </is>
      </c>
    </row>
    <row r="9">
      <c r="A9" s="4" t="inlineStr">
        <is>
          <t>G08</t>
        </is>
      </c>
      <c r="B9" s="4" t="inlineStr">
        <is>
          <t>大纲导学</t>
        </is>
      </c>
      <c r="C9" s="4" t="inlineStr">
        <is>
          <t>官方考试大纲</t>
        </is>
      </c>
      <c r="D9" s="4" t="inlineStr">
        <is>
          <t>导学题</t>
        </is>
      </c>
      <c r="E9" s="4" t="inlineStr">
        <is>
          <t>仔细阅读与快速阅读目标速度？</t>
        </is>
      </c>
      <c r="F9" s="4" t="n">
        <v>3</v>
      </c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>
        <is>
          <t>未开始</t>
        </is>
      </c>
    </row>
    <row r="10">
      <c r="A10" s="2" t="inlineStr">
        <is>
          <t>G09</t>
        </is>
      </c>
      <c r="B10" s="2" t="inlineStr">
        <is>
          <t>大纲导学</t>
        </is>
      </c>
      <c r="C10" s="2" t="inlineStr">
        <is>
          <t>官方考试大纲</t>
        </is>
      </c>
      <c r="D10" s="2" t="inlineStr">
        <is>
          <t>导学题</t>
        </is>
      </c>
      <c r="E10" s="2" t="inlineStr">
        <is>
          <t>四级听力材料官方语速？</t>
        </is>
      </c>
      <c r="F10" s="2" t="n">
        <v>2</v>
      </c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>
        <is>
          <t>未开始</t>
        </is>
      </c>
    </row>
    <row r="11">
      <c r="A11" s="4" t="inlineStr">
        <is>
          <t>G10</t>
        </is>
      </c>
      <c r="B11" s="4" t="inlineStr">
        <is>
          <t>大纲导学</t>
        </is>
      </c>
      <c r="C11" s="4" t="inlineStr">
        <is>
          <t>官方分数解释</t>
        </is>
      </c>
      <c r="D11" s="4" t="inlineStr">
        <is>
          <t>导学题</t>
        </is>
      </c>
      <c r="E11" s="4" t="inlineStr">
        <is>
          <t>高考135/150能否直接换成CET639/710？</t>
        </is>
      </c>
      <c r="F11" s="4" t="n">
        <v>6</v>
      </c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>
        <is>
          <t>未开始</t>
        </is>
      </c>
    </row>
    <row r="12">
      <c r="A12" s="2" t="inlineStr">
        <is>
          <t>G11</t>
        </is>
      </c>
      <c r="B12" s="2" t="inlineStr">
        <is>
          <t>大纲导学</t>
        </is>
      </c>
      <c r="C12" s="2" t="inlineStr">
        <is>
          <t>官方卷面结构+系统规则</t>
        </is>
      </c>
      <c r="D12" s="2" t="inlineStr">
        <is>
          <t>导学题</t>
        </is>
      </c>
      <c r="E12" s="2" t="inlineStr">
        <is>
          <t>什么算完整四级模拟？</t>
        </is>
      </c>
      <c r="F12" s="2" t="n">
        <v>6</v>
      </c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>
        <is>
          <t>未开始</t>
        </is>
      </c>
    </row>
    <row r="13">
      <c r="A13" s="4" t="inlineStr">
        <is>
          <t>G12</t>
        </is>
      </c>
      <c r="B13" s="4" t="inlineStr">
        <is>
          <t>大纲导学</t>
        </is>
      </c>
      <c r="C13" s="4" t="inlineStr">
        <is>
          <t>资料库来源边界</t>
        </is>
      </c>
      <c r="D13" s="4" t="inlineStr">
        <is>
          <t>导学题</t>
        </is>
      </c>
      <c r="E13" s="4" t="inlineStr">
        <is>
          <t>本系统真题客观答案是什么身份？</t>
        </is>
      </c>
      <c r="F13" s="4" t="n">
        <v>6</v>
      </c>
      <c r="G13" s="4" t="inlineStr"/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>
        <is>
          <t>未开始</t>
        </is>
      </c>
    </row>
    <row r="14">
      <c r="A14" s="2" t="inlineStr">
        <is>
          <t>L01</t>
        </is>
      </c>
      <c r="B14" s="2" t="inlineStr">
        <is>
          <t>听力</t>
        </is>
      </c>
      <c r="C14" s="2" t="inlineStr">
        <is>
          <t>2026/06 第1套</t>
        </is>
      </c>
      <c r="D14" s="2" t="inlineStr">
        <is>
          <t>真题PDF第1页 / 题1</t>
        </is>
      </c>
      <c r="E14" s="2" t="inlineStr">
        <is>
          <t>播放本地MP3，一遍作答第1题，并记录证据词。</t>
        </is>
      </c>
      <c r="F14" s="2" t="n">
        <v>8</v>
      </c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>
        <is>
          <t>未开始</t>
        </is>
      </c>
    </row>
    <row r="15">
      <c r="A15" s="4" t="inlineStr">
        <is>
          <t>L02</t>
        </is>
      </c>
      <c r="B15" s="4" t="inlineStr">
        <is>
          <t>听力</t>
        </is>
      </c>
      <c r="C15" s="4" t="inlineStr">
        <is>
          <t>2026/06 第1套</t>
        </is>
      </c>
      <c r="D15" s="4" t="inlineStr">
        <is>
          <t>真题PDF第1页 / 题2</t>
        </is>
      </c>
      <c r="E15" s="4" t="inlineStr">
        <is>
          <t>播放本地MP3，一遍作答第2题，并记录证据词。</t>
        </is>
      </c>
      <c r="F15" s="4" t="n">
        <v>8</v>
      </c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>
        <is>
          <t>未开始</t>
        </is>
      </c>
    </row>
    <row r="16">
      <c r="A16" s="2" t="inlineStr">
        <is>
          <t>L03</t>
        </is>
      </c>
      <c r="B16" s="2" t="inlineStr">
        <is>
          <t>听力</t>
        </is>
      </c>
      <c r="C16" s="2" t="inlineStr">
        <is>
          <t>2026/06 第1套</t>
        </is>
      </c>
      <c r="D16" s="2" t="inlineStr">
        <is>
          <t>真题PDF第1页 / 题3</t>
        </is>
      </c>
      <c r="E16" s="2" t="inlineStr">
        <is>
          <t>播放本地MP3，一遍作答第3题，并记录证据词。</t>
        </is>
      </c>
      <c r="F16" s="2" t="n">
        <v>8</v>
      </c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>
        <is>
          <t>未开始</t>
        </is>
      </c>
    </row>
    <row r="17">
      <c r="A17" s="4" t="inlineStr">
        <is>
          <t>L04</t>
        </is>
      </c>
      <c r="B17" s="4" t="inlineStr">
        <is>
          <t>听力</t>
        </is>
      </c>
      <c r="C17" s="4" t="inlineStr">
        <is>
          <t>2026/06 第1套</t>
        </is>
      </c>
      <c r="D17" s="4" t="inlineStr">
        <is>
          <t>真题PDF第1页 / 题4</t>
        </is>
      </c>
      <c r="E17" s="4" t="inlineStr">
        <is>
          <t>播放本地MP3，一遍作答第4题，并记录证据词。</t>
        </is>
      </c>
      <c r="F17" s="4" t="n">
        <v>8</v>
      </c>
      <c r="G17" s="4" t="inlineStr"/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>
        <is>
          <t>未开始</t>
        </is>
      </c>
    </row>
    <row r="18">
      <c r="A18" s="2" t="inlineStr">
        <is>
          <t>L05</t>
        </is>
      </c>
      <c r="B18" s="2" t="inlineStr">
        <is>
          <t>听力</t>
        </is>
      </c>
      <c r="C18" s="2" t="inlineStr">
        <is>
          <t>2026/06 第1套</t>
        </is>
      </c>
      <c r="D18" s="2" t="inlineStr">
        <is>
          <t>真题PDF第2页 / 题5</t>
        </is>
      </c>
      <c r="E18" s="2" t="inlineStr">
        <is>
          <t>播放本地MP3，一遍作答第5题，并记录证据词。</t>
        </is>
      </c>
      <c r="F18" s="2" t="n">
        <v>8</v>
      </c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>
        <is>
          <t>未开始</t>
        </is>
      </c>
    </row>
    <row r="19">
      <c r="A19" s="4" t="inlineStr">
        <is>
          <t>L06</t>
        </is>
      </c>
      <c r="B19" s="4" t="inlineStr">
        <is>
          <t>听力</t>
        </is>
      </c>
      <c r="C19" s="4" t="inlineStr">
        <is>
          <t>2026/06 第1套</t>
        </is>
      </c>
      <c r="D19" s="4" t="inlineStr">
        <is>
          <t>真题PDF第2页 / 题6</t>
        </is>
      </c>
      <c r="E19" s="4" t="inlineStr">
        <is>
          <t>播放本地MP3，一遍作答第6题，并记录证据词。</t>
        </is>
      </c>
      <c r="F19" s="4" t="n">
        <v>8</v>
      </c>
      <c r="G19" s="4" t="inlineStr"/>
      <c r="H19" s="4" t="inlineStr"/>
      <c r="I19" s="4" t="inlineStr"/>
      <c r="J19" s="4" t="inlineStr"/>
      <c r="K19" s="4" t="inlineStr"/>
      <c r="L19" s="4" t="inlineStr"/>
      <c r="M19" s="4" t="inlineStr"/>
      <c r="N19" s="4" t="inlineStr"/>
      <c r="O19" s="4" t="inlineStr">
        <is>
          <t>未开始</t>
        </is>
      </c>
    </row>
    <row r="20">
      <c r="A20" s="2" t="inlineStr">
        <is>
          <t>L07</t>
        </is>
      </c>
      <c r="B20" s="2" t="inlineStr">
        <is>
          <t>听力</t>
        </is>
      </c>
      <c r="C20" s="2" t="inlineStr">
        <is>
          <t>2026/06 第1套</t>
        </is>
      </c>
      <c r="D20" s="2" t="inlineStr">
        <is>
          <t>真题PDF第2页 / 题7</t>
        </is>
      </c>
      <c r="E20" s="2" t="inlineStr">
        <is>
          <t>播放本地MP3，一遍作答第7题，并记录证据词。</t>
        </is>
      </c>
      <c r="F20" s="2" t="n">
        <v>8</v>
      </c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>
        <is>
          <t>未开始</t>
        </is>
      </c>
    </row>
    <row r="21">
      <c r="A21" s="4" t="inlineStr">
        <is>
          <t>L08</t>
        </is>
      </c>
      <c r="B21" s="4" t="inlineStr">
        <is>
          <t>听力</t>
        </is>
      </c>
      <c r="C21" s="4" t="inlineStr">
        <is>
          <t>2026/06 第1套</t>
        </is>
      </c>
      <c r="D21" s="4" t="inlineStr">
        <is>
          <t>真题PDF第2页 / 题8</t>
        </is>
      </c>
      <c r="E21" s="4" t="inlineStr">
        <is>
          <t>播放本地MP3，一遍作答第8题，并记录证据词。</t>
        </is>
      </c>
      <c r="F21" s="4" t="n">
        <v>8</v>
      </c>
      <c r="G21" s="4" t="inlineStr"/>
      <c r="H21" s="4" t="inlineStr"/>
      <c r="I21" s="4" t="inlineStr"/>
      <c r="J21" s="4" t="inlineStr"/>
      <c r="K21" s="4" t="inlineStr"/>
      <c r="L21" s="4" t="inlineStr"/>
      <c r="M21" s="4" t="inlineStr"/>
      <c r="N21" s="4" t="inlineStr"/>
      <c r="O21" s="4" t="inlineStr">
        <is>
          <t>未开始</t>
        </is>
      </c>
    </row>
    <row r="22">
      <c r="A22" s="2" t="inlineStr">
        <is>
          <t>L09</t>
        </is>
      </c>
      <c r="B22" s="2" t="inlineStr">
        <is>
          <t>听力</t>
        </is>
      </c>
      <c r="C22" s="2" t="inlineStr">
        <is>
          <t>2026/06 第1套</t>
        </is>
      </c>
      <c r="D22" s="2" t="inlineStr">
        <is>
          <t>真题PDF第2页 / 题9</t>
        </is>
      </c>
      <c r="E22" s="2" t="inlineStr">
        <is>
          <t>播放本地MP3，一遍作答第9题，并记录证据词。</t>
        </is>
      </c>
      <c r="F22" s="2" t="n">
        <v>8</v>
      </c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>
        <is>
          <t>未开始</t>
        </is>
      </c>
    </row>
    <row r="23">
      <c r="A23" s="4" t="inlineStr">
        <is>
          <t>L10</t>
        </is>
      </c>
      <c r="B23" s="4" t="inlineStr">
        <is>
          <t>听力</t>
        </is>
      </c>
      <c r="C23" s="4" t="inlineStr">
        <is>
          <t>2026/06 第1套</t>
        </is>
      </c>
      <c r="D23" s="4" t="inlineStr">
        <is>
          <t>真题PDF第2页 / 题10</t>
        </is>
      </c>
      <c r="E23" s="4" t="inlineStr">
        <is>
          <t>播放本地MP3，一遍作答第10题，并记录证据词。</t>
        </is>
      </c>
      <c r="F23" s="4" t="n">
        <v>8</v>
      </c>
      <c r="G23" s="4" t="inlineStr"/>
      <c r="H23" s="4" t="inlineStr"/>
      <c r="I23" s="4" t="inlineStr"/>
      <c r="J23" s="4" t="inlineStr"/>
      <c r="K23" s="4" t="inlineStr"/>
      <c r="L23" s="4" t="inlineStr"/>
      <c r="M23" s="4" t="inlineStr"/>
      <c r="N23" s="4" t="inlineStr"/>
      <c r="O23" s="4" t="inlineStr">
        <is>
          <t>未开始</t>
        </is>
      </c>
    </row>
    <row r="24">
      <c r="A24" s="2" t="inlineStr">
        <is>
          <t>V01</t>
        </is>
      </c>
      <c r="B24" s="2" t="inlineStr">
        <is>
          <t>选词填空</t>
        </is>
      </c>
      <c r="C24" s="2" t="inlineStr">
        <is>
          <t>2026/06 第1套</t>
        </is>
      </c>
      <c r="D24" s="2" t="inlineStr">
        <is>
          <t>真题PDF第5–6页 / 题26</t>
        </is>
      </c>
      <c r="E24" s="2" t="inlineStr">
        <is>
          <t>完成第26题；先写词性槽，再选词。</t>
        </is>
      </c>
      <c r="F24" s="2" t="n">
        <v>9</v>
      </c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>
        <is>
          <t>未开始</t>
        </is>
      </c>
    </row>
    <row r="25">
      <c r="A25" s="4" t="inlineStr">
        <is>
          <t>V02</t>
        </is>
      </c>
      <c r="B25" s="4" t="inlineStr">
        <is>
          <t>选词填空</t>
        </is>
      </c>
      <c r="C25" s="4" t="inlineStr">
        <is>
          <t>2026/06 第1套</t>
        </is>
      </c>
      <c r="D25" s="4" t="inlineStr">
        <is>
          <t>真题PDF第5–6页 / 题27</t>
        </is>
      </c>
      <c r="E25" s="4" t="inlineStr">
        <is>
          <t>完成第27题；先写词性槽，再选词。</t>
        </is>
      </c>
      <c r="F25" s="4" t="n">
        <v>9</v>
      </c>
      <c r="G25" s="4" t="inlineStr"/>
      <c r="H25" s="4" t="inlineStr"/>
      <c r="I25" s="4" t="inlineStr"/>
      <c r="J25" s="4" t="inlineStr"/>
      <c r="K25" s="4" t="inlineStr"/>
      <c r="L25" s="4" t="inlineStr"/>
      <c r="M25" s="4" t="inlineStr"/>
      <c r="N25" s="4" t="inlineStr"/>
      <c r="O25" s="4" t="inlineStr">
        <is>
          <t>未开始</t>
        </is>
      </c>
    </row>
    <row r="26">
      <c r="A26" s="2" t="inlineStr">
        <is>
          <t>V03</t>
        </is>
      </c>
      <c r="B26" s="2" t="inlineStr">
        <is>
          <t>选词填空</t>
        </is>
      </c>
      <c r="C26" s="2" t="inlineStr">
        <is>
          <t>2026/06 第1套</t>
        </is>
      </c>
      <c r="D26" s="2" t="inlineStr">
        <is>
          <t>真题PDF第5–6页 / 题28</t>
        </is>
      </c>
      <c r="E26" s="2" t="inlineStr">
        <is>
          <t>完成第28题；先写词性槽，再选词。</t>
        </is>
      </c>
      <c r="F26" s="2" t="n">
        <v>9</v>
      </c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>
        <is>
          <t>未开始</t>
        </is>
      </c>
    </row>
    <row r="27">
      <c r="A27" s="4" t="inlineStr">
        <is>
          <t>V04</t>
        </is>
      </c>
      <c r="B27" s="4" t="inlineStr">
        <is>
          <t>选词填空</t>
        </is>
      </c>
      <c r="C27" s="4" t="inlineStr">
        <is>
          <t>2026/06 第1套</t>
        </is>
      </c>
      <c r="D27" s="4" t="inlineStr">
        <is>
          <t>真题PDF第5–6页 / 题29</t>
        </is>
      </c>
      <c r="E27" s="4" t="inlineStr">
        <is>
          <t>完成第29题；先写词性槽，再选词。</t>
        </is>
      </c>
      <c r="F27" s="4" t="n">
        <v>9</v>
      </c>
      <c r="G27" s="4" t="inlineStr"/>
      <c r="H27" s="4" t="inlineStr"/>
      <c r="I27" s="4" t="inlineStr"/>
      <c r="J27" s="4" t="inlineStr"/>
      <c r="K27" s="4" t="inlineStr"/>
      <c r="L27" s="4" t="inlineStr"/>
      <c r="M27" s="4" t="inlineStr"/>
      <c r="N27" s="4" t="inlineStr"/>
      <c r="O27" s="4" t="inlineStr">
        <is>
          <t>未开始</t>
        </is>
      </c>
    </row>
    <row r="28">
      <c r="A28" s="2" t="inlineStr">
        <is>
          <t>V05</t>
        </is>
      </c>
      <c r="B28" s="2" t="inlineStr">
        <is>
          <t>选词填空</t>
        </is>
      </c>
      <c r="C28" s="2" t="inlineStr">
        <is>
          <t>2026/06 第1套</t>
        </is>
      </c>
      <c r="D28" s="2" t="inlineStr">
        <is>
          <t>真题PDF第5–6页 / 题30</t>
        </is>
      </c>
      <c r="E28" s="2" t="inlineStr">
        <is>
          <t>完成第30题；先写词性槽，再选词。</t>
        </is>
      </c>
      <c r="F28" s="2" t="n">
        <v>9</v>
      </c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>
        <is>
          <t>未开始</t>
        </is>
      </c>
    </row>
    <row r="29">
      <c r="A29" s="4" t="inlineStr">
        <is>
          <t>V06</t>
        </is>
      </c>
      <c r="B29" s="4" t="inlineStr">
        <is>
          <t>选词填空</t>
        </is>
      </c>
      <c r="C29" s="4" t="inlineStr">
        <is>
          <t>2026/06 第1套</t>
        </is>
      </c>
      <c r="D29" s="4" t="inlineStr">
        <is>
          <t>真题PDF第5–6页 / 题31</t>
        </is>
      </c>
      <c r="E29" s="4" t="inlineStr">
        <is>
          <t>完成第31题；先写词性槽，再选词。</t>
        </is>
      </c>
      <c r="F29" s="4" t="n">
        <v>9</v>
      </c>
      <c r="G29" s="4" t="inlineStr"/>
      <c r="H29" s="4" t="inlineStr"/>
      <c r="I29" s="4" t="inlineStr"/>
      <c r="J29" s="4" t="inlineStr"/>
      <c r="K29" s="4" t="inlineStr"/>
      <c r="L29" s="4" t="inlineStr"/>
      <c r="M29" s="4" t="inlineStr"/>
      <c r="N29" s="4" t="inlineStr"/>
      <c r="O29" s="4" t="inlineStr">
        <is>
          <t>未开始</t>
        </is>
      </c>
    </row>
    <row r="30">
      <c r="A30" s="2" t="inlineStr">
        <is>
          <t>V07</t>
        </is>
      </c>
      <c r="B30" s="2" t="inlineStr">
        <is>
          <t>选词填空</t>
        </is>
      </c>
      <c r="C30" s="2" t="inlineStr">
        <is>
          <t>2026/06 第1套</t>
        </is>
      </c>
      <c r="D30" s="2" t="inlineStr">
        <is>
          <t>真题PDF第5–6页 / 题32</t>
        </is>
      </c>
      <c r="E30" s="2" t="inlineStr">
        <is>
          <t>完成第32题；先写词性槽，再选词。</t>
        </is>
      </c>
      <c r="F30" s="2" t="n">
        <v>9</v>
      </c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>
        <is>
          <t>未开始</t>
        </is>
      </c>
    </row>
    <row r="31">
      <c r="A31" s="4" t="inlineStr">
        <is>
          <t>V08</t>
        </is>
      </c>
      <c r="B31" s="4" t="inlineStr">
        <is>
          <t>选词填空</t>
        </is>
      </c>
      <c r="C31" s="4" t="inlineStr">
        <is>
          <t>2026/06 第1套</t>
        </is>
      </c>
      <c r="D31" s="4" t="inlineStr">
        <is>
          <t>真题PDF第5–6页 / 题33</t>
        </is>
      </c>
      <c r="E31" s="4" t="inlineStr">
        <is>
          <t>完成第33题；先写词性槽，再选词。</t>
        </is>
      </c>
      <c r="F31" s="4" t="n">
        <v>9</v>
      </c>
      <c r="G31" s="4" t="inlineStr"/>
      <c r="H31" s="4" t="inlineStr"/>
      <c r="I31" s="4" t="inlineStr"/>
      <c r="J31" s="4" t="inlineStr"/>
      <c r="K31" s="4" t="inlineStr"/>
      <c r="L31" s="4" t="inlineStr"/>
      <c r="M31" s="4" t="inlineStr"/>
      <c r="N31" s="4" t="inlineStr"/>
      <c r="O31" s="4" t="inlineStr">
        <is>
          <t>未开始</t>
        </is>
      </c>
    </row>
    <row r="32">
      <c r="A32" s="2" t="inlineStr">
        <is>
          <t>V09</t>
        </is>
      </c>
      <c r="B32" s="2" t="inlineStr">
        <is>
          <t>选词填空</t>
        </is>
      </c>
      <c r="C32" s="2" t="inlineStr">
        <is>
          <t>2026/06 第1套</t>
        </is>
      </c>
      <c r="D32" s="2" t="inlineStr">
        <is>
          <t>真题PDF第5–6页 / 题34</t>
        </is>
      </c>
      <c r="E32" s="2" t="inlineStr">
        <is>
          <t>完成第34题；先写词性槽，再选词。</t>
        </is>
      </c>
      <c r="F32" s="2" t="n">
        <v>9</v>
      </c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>
        <is>
          <t>未开始</t>
        </is>
      </c>
    </row>
    <row r="33">
      <c r="A33" s="4" t="inlineStr">
        <is>
          <t>V10</t>
        </is>
      </c>
      <c r="B33" s="4" t="inlineStr">
        <is>
          <t>选词填空</t>
        </is>
      </c>
      <c r="C33" s="4" t="inlineStr">
        <is>
          <t>2026/06 第1套</t>
        </is>
      </c>
      <c r="D33" s="4" t="inlineStr">
        <is>
          <t>真题PDF第5–6页 / 题35</t>
        </is>
      </c>
      <c r="E33" s="4" t="inlineStr">
        <is>
          <t>完成第35题；先写词性槽，再选词。</t>
        </is>
      </c>
      <c r="F33" s="4" t="n">
        <v>9</v>
      </c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>
        <is>
          <t>未开始</t>
        </is>
      </c>
    </row>
    <row r="34">
      <c r="A34" s="2" t="inlineStr">
        <is>
          <t>M01</t>
        </is>
      </c>
      <c r="B34" s="2" t="inlineStr">
        <is>
          <t>长篇匹配</t>
        </is>
      </c>
      <c r="C34" s="2" t="inlineStr">
        <is>
          <t>2026/06 第1套</t>
        </is>
      </c>
      <c r="D34" s="2" t="inlineStr">
        <is>
          <t>真题PDF第7页 / 题36</t>
        </is>
      </c>
      <c r="E34" s="2" t="inlineStr">
        <is>
          <t>完成第36题；圈强锚点并写同义替换。</t>
        </is>
      </c>
      <c r="F34" s="2" t="n">
        <v>9</v>
      </c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>
        <is>
          <t>未开始</t>
        </is>
      </c>
    </row>
    <row r="35">
      <c r="A35" s="4" t="inlineStr">
        <is>
          <t>M02</t>
        </is>
      </c>
      <c r="B35" s="4" t="inlineStr">
        <is>
          <t>长篇匹配</t>
        </is>
      </c>
      <c r="C35" s="4" t="inlineStr">
        <is>
          <t>2026/06 第1套</t>
        </is>
      </c>
      <c r="D35" s="4" t="inlineStr">
        <is>
          <t>真题PDF第7页 / 题37</t>
        </is>
      </c>
      <c r="E35" s="4" t="inlineStr">
        <is>
          <t>完成第37题；圈强锚点并写同义替换。</t>
        </is>
      </c>
      <c r="F35" s="4" t="n">
        <v>9</v>
      </c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>
        <is>
          <t>未开始</t>
        </is>
      </c>
    </row>
    <row r="36">
      <c r="A36" s="2" t="inlineStr">
        <is>
          <t>M03</t>
        </is>
      </c>
      <c r="B36" s="2" t="inlineStr">
        <is>
          <t>长篇匹配</t>
        </is>
      </c>
      <c r="C36" s="2" t="inlineStr">
        <is>
          <t>2026/06 第1套</t>
        </is>
      </c>
      <c r="D36" s="2" t="inlineStr">
        <is>
          <t>真题PDF第7页 / 题38</t>
        </is>
      </c>
      <c r="E36" s="2" t="inlineStr">
        <is>
          <t>完成第38题；圈强锚点并写同义替换。</t>
        </is>
      </c>
      <c r="F36" s="2" t="n">
        <v>9</v>
      </c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>
        <is>
          <t>未开始</t>
        </is>
      </c>
    </row>
    <row r="37">
      <c r="A37" s="4" t="inlineStr">
        <is>
          <t>M04</t>
        </is>
      </c>
      <c r="B37" s="4" t="inlineStr">
        <is>
          <t>长篇匹配</t>
        </is>
      </c>
      <c r="C37" s="4" t="inlineStr">
        <is>
          <t>2026/06 第1套</t>
        </is>
      </c>
      <c r="D37" s="4" t="inlineStr">
        <is>
          <t>真题PDF第7页 / 题39</t>
        </is>
      </c>
      <c r="E37" s="4" t="inlineStr">
        <is>
          <t>完成第39题；圈强锚点并写同义替换。</t>
        </is>
      </c>
      <c r="F37" s="4" t="n">
        <v>9</v>
      </c>
      <c r="G37" s="4" t="inlineStr"/>
      <c r="H37" s="4" t="inlineStr"/>
      <c r="I37" s="4" t="inlineStr"/>
      <c r="J37" s="4" t="inlineStr"/>
      <c r="K37" s="4" t="inlineStr"/>
      <c r="L37" s="4" t="inlineStr"/>
      <c r="M37" s="4" t="inlineStr"/>
      <c r="N37" s="4" t="inlineStr"/>
      <c r="O37" s="4" t="inlineStr">
        <is>
          <t>未开始</t>
        </is>
      </c>
    </row>
    <row r="38">
      <c r="A38" s="2" t="inlineStr">
        <is>
          <t>M05</t>
        </is>
      </c>
      <c r="B38" s="2" t="inlineStr">
        <is>
          <t>长篇匹配</t>
        </is>
      </c>
      <c r="C38" s="2" t="inlineStr">
        <is>
          <t>2026/06 第1套</t>
        </is>
      </c>
      <c r="D38" s="2" t="inlineStr">
        <is>
          <t>真题PDF第7页 / 题40</t>
        </is>
      </c>
      <c r="E38" s="2" t="inlineStr">
        <is>
          <t>完成第40题；圈强锚点并写同义替换。</t>
        </is>
      </c>
      <c r="F38" s="2" t="n">
        <v>9</v>
      </c>
      <c r="G38" s="2" t="inlineStr"/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>
        <is>
          <t>未开始</t>
        </is>
      </c>
    </row>
    <row r="39">
      <c r="A39" s="4" t="inlineStr">
        <is>
          <t>M06</t>
        </is>
      </c>
      <c r="B39" s="4" t="inlineStr">
        <is>
          <t>长篇匹配</t>
        </is>
      </c>
      <c r="C39" s="4" t="inlineStr">
        <is>
          <t>2026/06 第1套</t>
        </is>
      </c>
      <c r="D39" s="4" t="inlineStr">
        <is>
          <t>真题PDF第7页 / 题41</t>
        </is>
      </c>
      <c r="E39" s="4" t="inlineStr">
        <is>
          <t>完成第41题；圈强锚点并写同义替换。</t>
        </is>
      </c>
      <c r="F39" s="4" t="n">
        <v>9</v>
      </c>
      <c r="G39" s="4" t="inlineStr"/>
      <c r="H39" s="4" t="inlineStr"/>
      <c r="I39" s="4" t="inlineStr"/>
      <c r="J39" s="4" t="inlineStr"/>
      <c r="K39" s="4" t="inlineStr"/>
      <c r="L39" s="4" t="inlineStr"/>
      <c r="M39" s="4" t="inlineStr"/>
      <c r="N39" s="4" t="inlineStr"/>
      <c r="O39" s="4" t="inlineStr">
        <is>
          <t>未开始</t>
        </is>
      </c>
    </row>
    <row r="40">
      <c r="A40" s="2" t="inlineStr">
        <is>
          <t>M07</t>
        </is>
      </c>
      <c r="B40" s="2" t="inlineStr">
        <is>
          <t>长篇匹配</t>
        </is>
      </c>
      <c r="C40" s="2" t="inlineStr">
        <is>
          <t>2026/06 第1套</t>
        </is>
      </c>
      <c r="D40" s="2" t="inlineStr">
        <is>
          <t>真题PDF第7页 / 题42</t>
        </is>
      </c>
      <c r="E40" s="2" t="inlineStr">
        <is>
          <t>完成第42题；圈强锚点并写同义替换。</t>
        </is>
      </c>
      <c r="F40" s="2" t="n">
        <v>9</v>
      </c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>
        <is>
          <t>未开始</t>
        </is>
      </c>
    </row>
    <row r="41">
      <c r="A41" s="4" t="inlineStr">
        <is>
          <t>M08</t>
        </is>
      </c>
      <c r="B41" s="4" t="inlineStr">
        <is>
          <t>长篇匹配</t>
        </is>
      </c>
      <c r="C41" s="4" t="inlineStr">
        <is>
          <t>2026/06 第1套</t>
        </is>
      </c>
      <c r="D41" s="4" t="inlineStr">
        <is>
          <t>真题PDF第7页 / 题43</t>
        </is>
      </c>
      <c r="E41" s="4" t="inlineStr">
        <is>
          <t>完成第43题；圈强锚点并写同义替换。</t>
        </is>
      </c>
      <c r="F41" s="4" t="n">
        <v>9</v>
      </c>
      <c r="G41" s="4" t="inlineStr"/>
      <c r="H41" s="4" t="inlineStr"/>
      <c r="I41" s="4" t="inlineStr"/>
      <c r="J41" s="4" t="inlineStr"/>
      <c r="K41" s="4" t="inlineStr"/>
      <c r="L41" s="4" t="inlineStr"/>
      <c r="M41" s="4" t="inlineStr"/>
      <c r="N41" s="4" t="inlineStr"/>
      <c r="O41" s="4" t="inlineStr">
        <is>
          <t>未开始</t>
        </is>
      </c>
    </row>
    <row r="42">
      <c r="A42" s="2" t="inlineStr">
        <is>
          <t>M09</t>
        </is>
      </c>
      <c r="B42" s="2" t="inlineStr">
        <is>
          <t>长篇匹配</t>
        </is>
      </c>
      <c r="C42" s="2" t="inlineStr">
        <is>
          <t>2026/06 第1套</t>
        </is>
      </c>
      <c r="D42" s="2" t="inlineStr">
        <is>
          <t>真题PDF第7页 / 题44</t>
        </is>
      </c>
      <c r="E42" s="2" t="inlineStr">
        <is>
          <t>完成第44题；圈强锚点并写同义替换。</t>
        </is>
      </c>
      <c r="F42" s="2" t="n">
        <v>9</v>
      </c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>
        <is>
          <t>未开始</t>
        </is>
      </c>
    </row>
    <row r="43">
      <c r="A43" s="4" t="inlineStr">
        <is>
          <t>M10</t>
        </is>
      </c>
      <c r="B43" s="4" t="inlineStr">
        <is>
          <t>长篇匹配</t>
        </is>
      </c>
      <c r="C43" s="4" t="inlineStr">
        <is>
          <t>2026/06 第1套</t>
        </is>
      </c>
      <c r="D43" s="4" t="inlineStr">
        <is>
          <t>真题PDF第7页 / 题45</t>
        </is>
      </c>
      <c r="E43" s="4" t="inlineStr">
        <is>
          <t>完成第45题；圈强锚点并写同义替换。</t>
        </is>
      </c>
      <c r="F43" s="4" t="n">
        <v>9</v>
      </c>
      <c r="G43" s="4" t="inlineStr"/>
      <c r="H43" s="4" t="inlineStr"/>
      <c r="I43" s="4" t="inlineStr"/>
      <c r="J43" s="4" t="inlineStr"/>
      <c r="K43" s="4" t="inlineStr"/>
      <c r="L43" s="4" t="inlineStr"/>
      <c r="M43" s="4" t="inlineStr"/>
      <c r="N43" s="4" t="inlineStr"/>
      <c r="O43" s="4" t="inlineStr">
        <is>
          <t>未开始</t>
        </is>
      </c>
    </row>
    <row r="44">
      <c r="A44" s="2" t="inlineStr">
        <is>
          <t>R01</t>
        </is>
      </c>
      <c r="B44" s="2" t="inlineStr">
        <is>
          <t>仔细阅读</t>
        </is>
      </c>
      <c r="C44" s="2" t="inlineStr">
        <is>
          <t>2026/06 第1套</t>
        </is>
      </c>
      <c r="D44" s="2" t="inlineStr">
        <is>
          <t>真题PDF第8页 / 题46</t>
        </is>
      </c>
      <c r="E44" s="2" t="inlineStr">
        <is>
          <t>完成第46题；写题型和定位句。</t>
        </is>
      </c>
      <c r="F44" s="2" t="n">
        <v>10</v>
      </c>
      <c r="G44" s="2" t="inlineStr"/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>
        <is>
          <t>未开始</t>
        </is>
      </c>
    </row>
    <row r="45">
      <c r="A45" s="4" t="inlineStr">
        <is>
          <t>R02</t>
        </is>
      </c>
      <c r="B45" s="4" t="inlineStr">
        <is>
          <t>仔细阅读</t>
        </is>
      </c>
      <c r="C45" s="4" t="inlineStr">
        <is>
          <t>2026/06 第1套</t>
        </is>
      </c>
      <c r="D45" s="4" t="inlineStr">
        <is>
          <t>真题PDF第8页 / 题47</t>
        </is>
      </c>
      <c r="E45" s="4" t="inlineStr">
        <is>
          <t>完成第47题；写题型和定位句。</t>
        </is>
      </c>
      <c r="F45" s="4" t="n">
        <v>10</v>
      </c>
      <c r="G45" s="4" t="inlineStr"/>
      <c r="H45" s="4" t="inlineStr"/>
      <c r="I45" s="4" t="inlineStr"/>
      <c r="J45" s="4" t="inlineStr"/>
      <c r="K45" s="4" t="inlineStr"/>
      <c r="L45" s="4" t="inlineStr"/>
      <c r="M45" s="4" t="inlineStr"/>
      <c r="N45" s="4" t="inlineStr"/>
      <c r="O45" s="4" t="inlineStr">
        <is>
          <t>未开始</t>
        </is>
      </c>
    </row>
    <row r="46">
      <c r="A46" s="2" t="inlineStr">
        <is>
          <t>R03</t>
        </is>
      </c>
      <c r="B46" s="2" t="inlineStr">
        <is>
          <t>仔细阅读</t>
        </is>
      </c>
      <c r="C46" s="2" t="inlineStr">
        <is>
          <t>2026/06 第1套</t>
        </is>
      </c>
      <c r="D46" s="2" t="inlineStr">
        <is>
          <t>真题PDF第9页 / 题48</t>
        </is>
      </c>
      <c r="E46" s="2" t="inlineStr">
        <is>
          <t>完成第48题；写题型和定位句。</t>
        </is>
      </c>
      <c r="F46" s="2" t="n">
        <v>10</v>
      </c>
      <c r="G46" s="2" t="inlineStr"/>
      <c r="H46" s="2" t="inlineStr"/>
      <c r="I46" s="2" t="inlineStr"/>
      <c r="J46" s="2" t="inlineStr"/>
      <c r="K46" s="2" t="inlineStr"/>
      <c r="L46" s="2" t="inlineStr"/>
      <c r="M46" s="2" t="inlineStr"/>
      <c r="N46" s="2" t="inlineStr"/>
      <c r="O46" s="2" t="inlineStr">
        <is>
          <t>未开始</t>
        </is>
      </c>
    </row>
    <row r="47">
      <c r="A47" s="4" t="inlineStr">
        <is>
          <t>R04</t>
        </is>
      </c>
      <c r="B47" s="4" t="inlineStr">
        <is>
          <t>仔细阅读</t>
        </is>
      </c>
      <c r="C47" s="4" t="inlineStr">
        <is>
          <t>2026/06 第1套</t>
        </is>
      </c>
      <c r="D47" s="4" t="inlineStr">
        <is>
          <t>真题PDF第9页 / 题49</t>
        </is>
      </c>
      <c r="E47" s="4" t="inlineStr">
        <is>
          <t>完成第49题；写题型和定位句。</t>
        </is>
      </c>
      <c r="F47" s="4" t="n">
        <v>10</v>
      </c>
      <c r="G47" s="4" t="inlineStr"/>
      <c r="H47" s="4" t="inlineStr"/>
      <c r="I47" s="4" t="inlineStr"/>
      <c r="J47" s="4" t="inlineStr"/>
      <c r="K47" s="4" t="inlineStr"/>
      <c r="L47" s="4" t="inlineStr"/>
      <c r="M47" s="4" t="inlineStr"/>
      <c r="N47" s="4" t="inlineStr"/>
      <c r="O47" s="4" t="inlineStr">
        <is>
          <t>未开始</t>
        </is>
      </c>
    </row>
    <row r="48">
      <c r="A48" s="2" t="inlineStr">
        <is>
          <t>R05</t>
        </is>
      </c>
      <c r="B48" s="2" t="inlineStr">
        <is>
          <t>仔细阅读</t>
        </is>
      </c>
      <c r="C48" s="2" t="inlineStr">
        <is>
          <t>2026/06 第1套</t>
        </is>
      </c>
      <c r="D48" s="2" t="inlineStr">
        <is>
          <t>真题PDF第9页 / 题50</t>
        </is>
      </c>
      <c r="E48" s="2" t="inlineStr">
        <is>
          <t>完成第50题；写题型和定位句。</t>
        </is>
      </c>
      <c r="F48" s="2" t="n">
        <v>10</v>
      </c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>
        <is>
          <t>未开始</t>
        </is>
      </c>
    </row>
    <row r="49">
      <c r="A49" s="4" t="inlineStr">
        <is>
          <t>R06</t>
        </is>
      </c>
      <c r="B49" s="4" t="inlineStr">
        <is>
          <t>仔细阅读</t>
        </is>
      </c>
      <c r="C49" s="4" t="inlineStr">
        <is>
          <t>2026/06 第1套</t>
        </is>
      </c>
      <c r="D49" s="4" t="inlineStr">
        <is>
          <t>真题PDF第10页 / 题51</t>
        </is>
      </c>
      <c r="E49" s="4" t="inlineStr">
        <is>
          <t>完成第51题；写题型和定位句。</t>
        </is>
      </c>
      <c r="F49" s="4" t="n">
        <v>10</v>
      </c>
      <c r="G49" s="4" t="inlineStr"/>
      <c r="H49" s="4" t="inlineStr"/>
      <c r="I49" s="4" t="inlineStr"/>
      <c r="J49" s="4" t="inlineStr"/>
      <c r="K49" s="4" t="inlineStr"/>
      <c r="L49" s="4" t="inlineStr"/>
      <c r="M49" s="4" t="inlineStr"/>
      <c r="N49" s="4" t="inlineStr"/>
      <c r="O49" s="4" t="inlineStr">
        <is>
          <t>未开始</t>
        </is>
      </c>
    </row>
    <row r="50">
      <c r="A50" s="2" t="inlineStr">
        <is>
          <t>R07</t>
        </is>
      </c>
      <c r="B50" s="2" t="inlineStr">
        <is>
          <t>仔细阅读</t>
        </is>
      </c>
      <c r="C50" s="2" t="inlineStr">
        <is>
          <t>2026/06 第1套</t>
        </is>
      </c>
      <c r="D50" s="2" t="inlineStr">
        <is>
          <t>真题PDF第10页 / 题52</t>
        </is>
      </c>
      <c r="E50" s="2" t="inlineStr">
        <is>
          <t>完成第52题；写题型和定位句。</t>
        </is>
      </c>
      <c r="F50" s="2" t="n">
        <v>10</v>
      </c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/>
      <c r="O50" s="2" t="inlineStr">
        <is>
          <t>未开始</t>
        </is>
      </c>
    </row>
    <row r="51">
      <c r="A51" s="4" t="inlineStr">
        <is>
          <t>R08</t>
        </is>
      </c>
      <c r="B51" s="4" t="inlineStr">
        <is>
          <t>仔细阅读</t>
        </is>
      </c>
      <c r="C51" s="4" t="inlineStr">
        <is>
          <t>2026/06 第1套</t>
        </is>
      </c>
      <c r="D51" s="4" t="inlineStr">
        <is>
          <t>真题PDF第10页 / 题53</t>
        </is>
      </c>
      <c r="E51" s="4" t="inlineStr">
        <is>
          <t>完成第53题；写题型和定位句。</t>
        </is>
      </c>
      <c r="F51" s="4" t="n">
        <v>10</v>
      </c>
      <c r="G51" s="4" t="inlineStr"/>
      <c r="H51" s="4" t="inlineStr"/>
      <c r="I51" s="4" t="inlineStr"/>
      <c r="J51" s="4" t="inlineStr"/>
      <c r="K51" s="4" t="inlineStr"/>
      <c r="L51" s="4" t="inlineStr"/>
      <c r="M51" s="4" t="inlineStr"/>
      <c r="N51" s="4" t="inlineStr"/>
      <c r="O51" s="4" t="inlineStr">
        <is>
          <t>未开始</t>
        </is>
      </c>
    </row>
    <row r="52">
      <c r="A52" s="2" t="inlineStr">
        <is>
          <t>R09</t>
        </is>
      </c>
      <c r="B52" s="2" t="inlineStr">
        <is>
          <t>仔细阅读</t>
        </is>
      </c>
      <c r="C52" s="2" t="inlineStr">
        <is>
          <t>2026/06 第1套</t>
        </is>
      </c>
      <c r="D52" s="2" t="inlineStr">
        <is>
          <t>真题PDF第10页 / 题54</t>
        </is>
      </c>
      <c r="E52" s="2" t="inlineStr">
        <is>
          <t>完成第54题；写题型和定位句。</t>
        </is>
      </c>
      <c r="F52" s="2" t="n">
        <v>10</v>
      </c>
      <c r="G52" s="2" t="inlineStr"/>
      <c r="H52" s="2" t="inlineStr"/>
      <c r="I52" s="2" t="inlineStr"/>
      <c r="J52" s="2" t="inlineStr"/>
      <c r="K52" s="2" t="inlineStr"/>
      <c r="L52" s="2" t="inlineStr"/>
      <c r="M52" s="2" t="inlineStr"/>
      <c r="N52" s="2" t="inlineStr"/>
      <c r="O52" s="2" t="inlineStr">
        <is>
          <t>未开始</t>
        </is>
      </c>
    </row>
    <row r="53">
      <c r="A53" s="4" t="inlineStr">
        <is>
          <t>R10</t>
        </is>
      </c>
      <c r="B53" s="4" t="inlineStr">
        <is>
          <t>仔细阅读</t>
        </is>
      </c>
      <c r="C53" s="4" t="inlineStr">
        <is>
          <t>2026/06 第1套</t>
        </is>
      </c>
      <c r="D53" s="4" t="inlineStr">
        <is>
          <t>真题PDF第10页 / 题55</t>
        </is>
      </c>
      <c r="E53" s="4" t="inlineStr">
        <is>
          <t>完成第55题；写题型和定位句。</t>
        </is>
      </c>
      <c r="F53" s="4" t="n">
        <v>10</v>
      </c>
      <c r="G53" s="4" t="inlineStr"/>
      <c r="H53" s="4" t="inlineStr"/>
      <c r="I53" s="4" t="inlineStr"/>
      <c r="J53" s="4" t="inlineStr"/>
      <c r="K53" s="4" t="inlineStr"/>
      <c r="L53" s="4" t="inlineStr"/>
      <c r="M53" s="4" t="inlineStr"/>
      <c r="N53" s="4" t="inlineStr"/>
      <c r="O53" s="4" t="inlineStr">
        <is>
          <t>未开始</t>
        </is>
      </c>
    </row>
    <row r="54">
      <c r="A54" s="2" t="inlineStr">
        <is>
          <t>W01</t>
        </is>
      </c>
      <c r="B54" s="2" t="inlineStr">
        <is>
          <t>写作</t>
        </is>
      </c>
      <c r="C54" s="2" t="inlineStr">
        <is>
          <t>2026/06 第1套</t>
        </is>
      </c>
      <c r="D54" s="2" t="inlineStr">
        <is>
          <t>PDF第1页</t>
        </is>
      </c>
      <c r="E54" s="2" t="inlineStr">
        <is>
          <t>限时回应：大学生是否应至少参加一个研究项目；同时讨论必要性和可行性。</t>
        </is>
      </c>
      <c r="F54" s="2" t="n">
        <v>11</v>
      </c>
      <c r="G54" s="2" t="inlineStr"/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s="2" t="inlineStr">
        <is>
          <t>未开始</t>
        </is>
      </c>
    </row>
    <row r="55">
      <c r="A55" s="4" t="inlineStr">
        <is>
          <t>W02</t>
        </is>
      </c>
      <c r="B55" s="4" t="inlineStr">
        <is>
          <t>写作</t>
        </is>
      </c>
      <c r="C55" s="4" t="inlineStr">
        <is>
          <t>2026/06 第2套</t>
        </is>
      </c>
      <c r="D55" s="4" t="inlineStr">
        <is>
          <t>PDF第1页</t>
        </is>
      </c>
      <c r="E55" s="4" t="inlineStr">
        <is>
          <t>限时写校园机器人未来应用投稿。</t>
        </is>
      </c>
      <c r="F55" s="4" t="n">
        <v>11</v>
      </c>
      <c r="G55" s="4" t="inlineStr"/>
      <c r="H55" s="4" t="inlineStr"/>
      <c r="I55" s="4" t="inlineStr"/>
      <c r="J55" s="4" t="inlineStr"/>
      <c r="K55" s="4" t="inlineStr"/>
      <c r="L55" s="4" t="inlineStr"/>
      <c r="M55" s="4" t="inlineStr"/>
      <c r="N55" s="4" t="inlineStr"/>
      <c r="O55" s="4" t="inlineStr">
        <is>
          <t>未开始</t>
        </is>
      </c>
    </row>
    <row r="56">
      <c r="A56" s="2" t="inlineStr">
        <is>
          <t>W03</t>
        </is>
      </c>
      <c r="B56" s="2" t="inlineStr">
        <is>
          <t>写作</t>
        </is>
      </c>
      <c r="C56" s="2" t="inlineStr">
        <is>
          <t>2025/12 第1套</t>
        </is>
      </c>
      <c r="D56" s="2" t="inlineStr">
        <is>
          <t>PDF第1页</t>
        </is>
      </c>
      <c r="E56" s="2" t="inlineStr">
        <is>
          <t>给学生会提出丰富校园生活的建议。</t>
        </is>
      </c>
      <c r="F56" s="2" t="n">
        <v>11</v>
      </c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>
        <is>
          <t>未开始</t>
        </is>
      </c>
    </row>
    <row r="57">
      <c r="A57" s="4" t="inlineStr">
        <is>
          <t>T01</t>
        </is>
      </c>
      <c r="B57" s="4" t="inlineStr">
        <is>
          <t>翻译</t>
        </is>
      </c>
      <c r="C57" s="4" t="inlineStr">
        <is>
          <t>2026/06 第1套</t>
        </is>
      </c>
      <c r="D57" s="4" t="inlineStr">
        <is>
          <t>PDF第10–11页</t>
        </is>
      </c>
      <c r="E57" s="4" t="inlineStr">
        <is>
          <t>限时翻译尊师传统段落。</t>
        </is>
      </c>
      <c r="F57" s="4" t="n">
        <v>12</v>
      </c>
      <c r="G57" s="4" t="inlineStr"/>
      <c r="H57" s="4" t="inlineStr"/>
      <c r="I57" s="4" t="inlineStr"/>
      <c r="J57" s="4" t="inlineStr"/>
      <c r="K57" s="4" t="inlineStr"/>
      <c r="L57" s="4" t="inlineStr"/>
      <c r="M57" s="4" t="inlineStr"/>
      <c r="N57" s="4" t="inlineStr"/>
      <c r="O57" s="4" t="inlineStr">
        <is>
          <t>未开始</t>
        </is>
      </c>
    </row>
    <row r="58">
      <c r="A58" s="2" t="inlineStr">
        <is>
          <t>T02</t>
        </is>
      </c>
      <c r="B58" s="2" t="inlineStr">
        <is>
          <t>翻译</t>
        </is>
      </c>
      <c r="C58" s="2" t="inlineStr">
        <is>
          <t>2026/06 第2套</t>
        </is>
      </c>
      <c r="D58" s="2" t="inlineStr">
        <is>
          <t>PDF第10–11页</t>
        </is>
      </c>
      <c r="E58" s="2" t="inlineStr">
        <is>
          <t>限时翻译餐桌礼仪段落。</t>
        </is>
      </c>
      <c r="F58" s="2" t="n">
        <v>12</v>
      </c>
      <c r="G58" s="2" t="inlineStr"/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>
        <is>
          <t>未开始</t>
        </is>
      </c>
    </row>
    <row r="59">
      <c r="A59" s="4" t="inlineStr">
        <is>
          <t>T03</t>
        </is>
      </c>
      <c r="B59" s="4" t="inlineStr">
        <is>
          <t>翻译</t>
        </is>
      </c>
      <c r="C59" s="4" t="inlineStr">
        <is>
          <t>2025/12 第2套</t>
        </is>
      </c>
      <c r="D59" s="4" t="inlineStr">
        <is>
          <t>PDF末页</t>
        </is>
      </c>
      <c r="E59" s="4" t="inlineStr">
        <is>
          <t>限时翻译城市漫步段落。</t>
        </is>
      </c>
      <c r="F59" s="4" t="n">
        <v>12</v>
      </c>
      <c r="G59" s="4" t="inlineStr"/>
      <c r="H59" s="4" t="inlineStr"/>
      <c r="I59" s="4" t="inlineStr"/>
      <c r="J59" s="4" t="inlineStr"/>
      <c r="K59" s="4" t="inlineStr"/>
      <c r="L59" s="4" t="inlineStr"/>
      <c r="M59" s="4" t="inlineStr"/>
      <c r="N59" s="4" t="inlineStr"/>
      <c r="O59" s="4" t="inlineStr">
        <is>
          <t>未开始</t>
        </is>
      </c>
    </row>
  </sheetData>
  <autoFilter ref="A1:O59"/>
  <conditionalFormatting sqref="H2:H59">
    <cfRule type="cellIs" priority="1" operator="equal" dxfId="0">
      <formula>"正确"</formula>
    </cfRule>
    <cfRule type="cellIs" priority="2" operator="equal" dxfId="1">
      <formula>"错误"</formula>
    </cfRule>
  </conditionalFormatting>
  <dataValidations count="3">
    <dataValidation sqref="H2:H59" showDropDown="0" showInputMessage="0" showErrorMessage="0" allowBlank="0" type="list">
      <formula1>"正确,错误,猜对,未答"</formula1>
    </dataValidation>
    <dataValidation sqref="O2:O59" showDropDown="0" showInputMessage="0" showErrorMessage="0" allowBlank="0" type="list">
      <formula1>"未开始,已首答,复习中,暂时掌握,争议"</formula1>
    </dataValidation>
    <dataValidation sqref="I2:I59" showDropDown="0" showInputMessage="0" showErrorMessage="0" allowBlank="0" type="whole" operator="between">
      <formula1>1</formula1>
      <formula2>4</formula2>
    </dataValidation>
  </dataValidations>
  <pageMargins left="0.25" right="0.25" top="0.4" bottom="0.4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5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8" customWidth="1" min="2" max="2"/>
    <col width="68" customWidth="1" min="3" max="3"/>
    <col width="38" customWidth="1" min="4" max="4"/>
    <col width="35" customWidth="1" min="5" max="5"/>
  </cols>
  <sheetData>
    <row r="1" ht="32" customHeight="1">
      <c r="A1" s="1" t="inlineStr">
        <is>
          <t>ID</t>
        </is>
      </c>
      <c r="B1" s="1" t="inlineStr">
        <is>
          <t>答案/达标条件</t>
        </is>
      </c>
      <c r="C1" s="1" t="inlineStr">
        <is>
          <t>简析</t>
        </is>
      </c>
      <c r="D1" s="1" t="inlineStr">
        <is>
          <t>来源位置</t>
        </is>
      </c>
      <c r="E1" s="1" t="inlineStr">
        <is>
          <t>证据等级</t>
        </is>
      </c>
    </row>
    <row r="2">
      <c r="A2" s="2" t="inlineStr">
        <is>
          <t>G01</t>
        </is>
      </c>
      <c r="B2" s="2" t="inlineStr">
        <is>
          <t>710</t>
        </is>
      </c>
      <c r="C2" s="2" t="inlineStr">
        <is>
          <t>官方报道分上限，不是简单卷面百分数。</t>
        </is>
      </c>
      <c r="D2" s="2" t="inlineStr">
        <is>
          <t>官方分数解释</t>
        </is>
      </c>
      <c r="E2" s="2" t="inlineStr">
        <is>
          <t>官方大纲/官方分数解释；G12为资料边界</t>
        </is>
      </c>
    </row>
    <row r="3">
      <c r="A3" s="4" t="inlineStr">
        <is>
          <t>G02</t>
        </is>
      </c>
      <c r="B3" s="4" t="inlineStr">
        <is>
          <t>不设</t>
        </is>
      </c>
      <c r="C3" s="4" t="inlineStr">
        <is>
          <t>采用常模参照报道分；其他机构要求不等于官方及格线。</t>
        </is>
      </c>
      <c r="D3" s="4" t="inlineStr">
        <is>
          <t>官方分数解释</t>
        </is>
      </c>
      <c r="E3" s="4" t="inlineStr">
        <is>
          <t>官方大纲/官方分数解释；G12为资料边界</t>
        </is>
      </c>
    </row>
    <row r="4">
      <c r="A4" s="2" t="inlineStr">
        <is>
          <t>G03</t>
        </is>
      </c>
      <c r="B4" s="2" t="inlineStr">
        <is>
          <t>听力35%/249；阅读35%/249；写译30%/212</t>
        </is>
      </c>
      <c r="C4" s="2" t="inlineStr">
        <is>
          <t>四个单项相加为710；写作与翻译合并报道。</t>
        </is>
      </c>
      <c r="D4" s="2" t="inlineStr">
        <is>
          <t>官方分数解释</t>
        </is>
      </c>
      <c r="E4" s="2" t="inlineStr">
        <is>
          <t>官方大纲/官方分数解释；G12为资料边界</t>
        </is>
      </c>
    </row>
    <row r="5">
      <c r="A5" s="4" t="inlineStr">
        <is>
          <t>G04</t>
        </is>
      </c>
      <c r="B5" s="4" t="inlineStr">
        <is>
          <t>主旨、细节、隐含意义、交际功能、观点态度、语音与句间关系</t>
        </is>
      </c>
      <c r="C5" s="4" t="inlineStr">
        <is>
          <t>复盘必须写证据类型。</t>
        </is>
      </c>
      <c r="D5" s="4" t="inlineStr">
        <is>
          <t>官方考试大纲</t>
        </is>
      </c>
      <c r="E5" s="4" t="inlineStr">
        <is>
          <t>官方大纲/官方分数解释；G12为资料边界</t>
        </is>
      </c>
    </row>
    <row r="6">
      <c r="A6" s="2" t="inlineStr">
        <is>
          <t>G05</t>
        </is>
      </c>
      <c r="B6" s="2" t="inlineStr">
        <is>
          <t>主旨、细节、观点态度、推断、猜词、句间关系、篇章衔接</t>
        </is>
      </c>
      <c r="C6" s="2" t="inlineStr">
        <is>
          <t>三种阅读题型都回到这些动作。</t>
        </is>
      </c>
      <c r="D6" s="2" t="inlineStr">
        <is>
          <t>官方考试大纲</t>
        </is>
      </c>
      <c r="E6" s="2" t="inlineStr">
        <is>
          <t>官方大纲/官方分数解释；G12为资料边界</t>
        </is>
      </c>
    </row>
    <row r="7">
      <c r="A7" s="4" t="inlineStr">
        <is>
          <t>G06</t>
        </is>
      </c>
      <c r="B7" s="4" t="inlineStr">
        <is>
          <t>30分钟，不少于120词；中心明确、结构完整、通顺连贯</t>
        </is>
      </c>
      <c r="C7" s="4" t="inlineStr">
        <is>
          <t>当次题面若给上限，以当次Directions为准。</t>
        </is>
      </c>
      <c r="D7" s="4" t="inlineStr">
        <is>
          <t>官方考试大纲</t>
        </is>
      </c>
      <c r="E7" s="4" t="inlineStr">
        <is>
          <t>官方大纲/官方分数解释；G12为资料边界</t>
        </is>
      </c>
    </row>
    <row r="8">
      <c r="A8" s="2" t="inlineStr">
        <is>
          <t>G07</t>
        </is>
      </c>
      <c r="B8" s="2" t="inlineStr">
        <is>
          <t>30分钟，140–160汉字熟悉题材汉译英，基本准确通顺</t>
        </is>
      </c>
      <c r="C8" s="2" t="inlineStr">
        <is>
          <t>检查信息完整和英语自然，不逐字替换。</t>
        </is>
      </c>
      <c r="D8" s="2" t="inlineStr">
        <is>
          <t>官方考试大纲</t>
        </is>
      </c>
      <c r="E8" s="2" t="inlineStr">
        <is>
          <t>官方大纲/官方分数解释；G12为资料边界</t>
        </is>
      </c>
    </row>
    <row r="9">
      <c r="A9" s="4" t="inlineStr">
        <is>
          <t>G08</t>
        </is>
      </c>
      <c r="B9" s="4" t="inlineStr">
        <is>
          <t>约70词/分钟；100词/分钟</t>
        </is>
      </c>
      <c r="C9" s="4" t="inlineStr">
        <is>
          <t>速度必须和理解同时测。</t>
        </is>
      </c>
      <c r="D9" s="4" t="inlineStr">
        <is>
          <t>官方考试大纲</t>
        </is>
      </c>
      <c r="E9" s="4" t="inlineStr">
        <is>
          <t>官方大纲/官方分数解释；G12为资料边界</t>
        </is>
      </c>
    </row>
    <row r="10">
      <c r="A10" s="2" t="inlineStr">
        <is>
          <t>G09</t>
        </is>
      </c>
      <c r="B10" s="2" t="inlineStr">
        <is>
          <t>约120–140词/分钟</t>
        </is>
      </c>
      <c r="C10" s="2" t="inlineStr">
        <is>
          <t>辅助材料可参考该区间，真题仍优先。</t>
        </is>
      </c>
      <c r="D10" s="2" t="inlineStr">
        <is>
          <t>官方考试大纲</t>
        </is>
      </c>
      <c r="E10" s="2" t="inlineStr">
        <is>
          <t>官方大纲/官方分数解释；G12为资料边界</t>
        </is>
      </c>
    </row>
    <row r="11">
      <c r="A11" s="4" t="inlineStr">
        <is>
          <t>G10</t>
        </is>
      </c>
      <c r="B11" s="4" t="inlineStr">
        <is>
          <t>不能；639只是90%的算术类比</t>
        </is>
      </c>
      <c r="C11" s="4" t="inlineStr">
        <is>
          <t>CET为常模参照；630约第98百分位，650约第99。</t>
        </is>
      </c>
      <c r="D11" s="4" t="inlineStr">
        <is>
          <t>官方分数解释</t>
        </is>
      </c>
      <c r="E11" s="4" t="inlineStr">
        <is>
          <t>官方大纲/官方分数解释；G12为资料边界</t>
        </is>
      </c>
    </row>
    <row r="12">
      <c r="A12" s="2" t="inlineStr">
        <is>
          <t>G11</t>
        </is>
      </c>
      <c r="B12" s="2" t="inlineStr">
        <is>
          <t>连续按正式流程完成125分钟；听力一次播放</t>
        </is>
      </c>
      <c r="C12" s="2" t="inlineStr">
        <is>
          <t>分段训练必须标非完整模拟。</t>
        </is>
      </c>
      <c r="D12" s="2" t="inlineStr">
        <is>
          <t>官方卷面结构+系统规则</t>
        </is>
      </c>
      <c r="E12" s="2" t="inlineStr">
        <is>
          <t>官方大纲/官方分数解释；G12为资料边界</t>
        </is>
      </c>
    </row>
    <row r="13">
      <c r="A13" s="4" t="inlineStr">
        <is>
          <t>G12</t>
        </is>
      </c>
      <c r="B13" s="4" t="inlineStr">
        <is>
          <t>第三方参考答案</t>
        </is>
      </c>
      <c r="C13" s="4" t="inlineStr">
        <is>
          <t>不是官方标准答案；冲突时标争议。</t>
        </is>
      </c>
      <c r="D13" s="4" t="inlineStr">
        <is>
          <t>资料库来源边界</t>
        </is>
      </c>
      <c r="E13" s="4" t="inlineStr">
        <is>
          <t>官方大纲/官方分数解释；G12为资料边界</t>
        </is>
      </c>
    </row>
    <row r="14">
      <c r="A14" s="2" t="inlineStr">
        <is>
          <t>L01</t>
        </is>
      </c>
      <c r="B14" s="2" t="inlineStr">
        <is>
          <t>C</t>
        </is>
      </c>
      <c r="C14" s="2" t="inlineStr">
        <is>
          <t>儿子从多家餐馆下单导致账单；主语和行为完整对应。</t>
        </is>
      </c>
      <c r="D14" s="2" t="inlineStr">
        <is>
          <t>2026/06第1套第三方解析 PDF第19页</t>
        </is>
      </c>
      <c r="E14" s="2" t="inlineStr">
        <is>
          <t>第三方参考；题面已视觉抽查</t>
        </is>
      </c>
    </row>
    <row r="15">
      <c r="A15" s="4" t="inlineStr">
        <is>
          <t>L02</t>
        </is>
      </c>
      <c r="B15" s="4" t="inlineStr">
        <is>
          <t>B</t>
        </is>
      </c>
      <c r="C15" s="4" t="inlineStr">
        <is>
          <t>结尾明确说父亲打算更改密码。</t>
        </is>
      </c>
      <c r="D15" s="4" t="inlineStr">
        <is>
          <t>2026/06第1套第三方解析 PDF第20页</t>
        </is>
      </c>
      <c r="E15" s="4" t="inlineStr">
        <is>
          <t>第三方参考；题面已视觉抽查</t>
        </is>
      </c>
    </row>
    <row r="16">
      <c r="A16" s="2" t="inlineStr">
        <is>
          <t>L03</t>
        </is>
      </c>
      <c r="B16" s="2" t="inlineStr">
        <is>
          <t>A</t>
        </is>
      </c>
      <c r="C16" s="2" t="inlineStr">
        <is>
          <t>研究考察游客如何影响动物行为。</t>
        </is>
      </c>
      <c r="D16" s="2" t="inlineStr">
        <is>
          <t>2026/06第1套第三方解析 PDF第21页</t>
        </is>
      </c>
      <c r="E16" s="2" t="inlineStr">
        <is>
          <t>第三方参考；题面已视觉抽查</t>
        </is>
      </c>
    </row>
    <row r="17">
      <c r="A17" s="4" t="inlineStr">
        <is>
          <t>L04</t>
        </is>
      </c>
      <c r="B17" s="4" t="inlineStr">
        <is>
          <t>D</t>
        </is>
      </c>
      <c r="C17" s="4" t="inlineStr">
        <is>
          <t>正确项保留动物在动物园出生并长大的限定。</t>
        </is>
      </c>
      <c r="D17" s="4" t="inlineStr">
        <is>
          <t>2026/06第1套第三方解析 PDF第22页</t>
        </is>
      </c>
      <c r="E17" s="4" t="inlineStr">
        <is>
          <t>第三方参考；题面已视觉抽查</t>
        </is>
      </c>
    </row>
    <row r="18">
      <c r="A18" s="2" t="inlineStr">
        <is>
          <t>L05</t>
        </is>
      </c>
      <c r="B18" s="2" t="inlineStr">
        <is>
          <t>B</t>
        </is>
      </c>
      <c r="C18" s="2" t="inlineStr">
        <is>
          <t>项目状态是暂停，而非调整、重评或扩张。</t>
        </is>
      </c>
      <c r="D18" s="2" t="inlineStr">
        <is>
          <t>2026/06第1套第三方解析 PDF第24页</t>
        </is>
      </c>
      <c r="E18" s="2" t="inlineStr">
        <is>
          <t>第三方参考；题面已视觉抽查</t>
        </is>
      </c>
    </row>
    <row r="19">
      <c r="A19" s="4" t="inlineStr">
        <is>
          <t>L06</t>
        </is>
      </c>
      <c r="B19" s="4" t="inlineStr">
        <is>
          <t>D</t>
        </is>
      </c>
      <c r="C19" s="4" t="inlineStr">
        <is>
          <t>合资格者可获得1,200美元；数字和条件都要保留。</t>
        </is>
      </c>
      <c r="D19" s="4" t="inlineStr">
        <is>
          <t>2026/06第1套第三方解析 PDF第24页</t>
        </is>
      </c>
      <c r="E19" s="4" t="inlineStr">
        <is>
          <t>第三方参考；题面已视觉抽查</t>
        </is>
      </c>
    </row>
    <row r="20">
      <c r="A20" s="2" t="inlineStr">
        <is>
          <t>L07</t>
        </is>
      </c>
      <c r="B20" s="2" t="inlineStr">
        <is>
          <t>C</t>
        </is>
      </c>
      <c r="C20" s="2" t="inlineStr">
        <is>
          <t>后续动作是恢复电动自行车激励项目。</t>
        </is>
      </c>
      <c r="D20" s="2" t="inlineStr">
        <is>
          <t>2026/06第1套第三方解析 PDF第25页</t>
        </is>
      </c>
      <c r="E20" s="2" t="inlineStr">
        <is>
          <t>第三方参考；题面已视觉抽查</t>
        </is>
      </c>
    </row>
    <row r="21">
      <c r="A21" s="4" t="inlineStr">
        <is>
          <t>L08</t>
        </is>
      </c>
      <c r="B21" s="4" t="inlineStr">
        <is>
          <t>A</t>
        </is>
      </c>
      <c r="C21" s="4" t="inlineStr">
        <is>
          <t>对话指向coin collection。</t>
        </is>
      </c>
      <c r="D21" s="4" t="inlineStr">
        <is>
          <t>2026/06第1套第三方解析 PDF第27页</t>
        </is>
      </c>
      <c r="E21" s="4" t="inlineStr">
        <is>
          <t>第三方参考；题面已视觉抽查</t>
        </is>
      </c>
    </row>
    <row r="22">
      <c r="A22" s="2" t="inlineStr">
        <is>
          <t>L09</t>
        </is>
      </c>
      <c r="B22" s="2" t="inlineStr">
        <is>
          <t>A</t>
        </is>
      </c>
      <c r="C22" s="2" t="inlineStr">
        <is>
          <t>街道狭窄但漂亮，对应charming。</t>
        </is>
      </c>
      <c r="D22" s="2" t="inlineStr">
        <is>
          <t>2026/06第1套第三方解析 PDF第28页</t>
        </is>
      </c>
      <c r="E22" s="2" t="inlineStr">
        <is>
          <t>第三方参考；题面已视觉抽查</t>
        </is>
      </c>
    </row>
    <row r="23">
      <c r="A23" s="4" t="inlineStr">
        <is>
          <t>L10</t>
        </is>
      </c>
      <c r="B23" s="4" t="inlineStr">
        <is>
          <t>B</t>
        </is>
      </c>
      <c r="C23" s="4" t="inlineStr">
        <is>
          <t>该地点被描述为著名且漂亮。</t>
        </is>
      </c>
      <c r="D23" s="4" t="inlineStr">
        <is>
          <t>2026/06第1套第三方解析 PDF第29页</t>
        </is>
      </c>
      <c r="E23" s="4" t="inlineStr">
        <is>
          <t>第三方参考；题面已视觉抽查</t>
        </is>
      </c>
    </row>
    <row r="24">
      <c r="A24" s="2" t="inlineStr">
        <is>
          <t>V01</t>
        </is>
      </c>
      <c r="B24" s="2" t="inlineStr">
        <is>
          <t>N squeezed</t>
        </is>
      </c>
      <c r="C24" s="2" t="inlineStr">
        <is>
          <t>过去式谓语；squeeze ... from ...搭配与负面语境共同锁定。</t>
        </is>
      </c>
      <c r="D24" s="2" t="inlineStr">
        <is>
          <t>2026/06第1套第三方解析 PDF第62页</t>
        </is>
      </c>
      <c r="E24" s="2" t="inlineStr">
        <is>
          <t>第三方参考；第26题已视觉核验</t>
        </is>
      </c>
    </row>
    <row r="25">
      <c r="A25" s="4" t="inlineStr">
        <is>
          <t>V02</t>
        </is>
      </c>
      <c r="B25" s="4" t="inlineStr">
        <is>
          <t>A available</t>
        </is>
      </c>
      <c r="C25" s="4" t="inlineStr">
        <is>
          <t>with复合结构；available to为固定搭配。</t>
        </is>
      </c>
      <c r="D25" s="4" t="inlineStr">
        <is>
          <t>2026/06第1套第三方解析 PDF第63页</t>
        </is>
      </c>
      <c r="E25" s="4" t="inlineStr">
        <is>
          <t>第三方参考；第26题已视觉核验</t>
        </is>
      </c>
    </row>
    <row r="26">
      <c r="A26" s="2" t="inlineStr">
        <is>
          <t>V03</t>
        </is>
      </c>
      <c r="B26" s="2" t="inlineStr">
        <is>
          <t>I increased</t>
        </is>
      </c>
      <c r="C26" s="2" t="inlineStr">
        <is>
          <t>主语后缺谓语，语境说明生活水平提高。</t>
        </is>
      </c>
      <c r="D26" s="2" t="inlineStr">
        <is>
          <t>2026/06第1套第三方解析 PDF第63页</t>
        </is>
      </c>
      <c r="E26" s="2" t="inlineStr">
        <is>
          <t>第三方参考；第26题已视觉核验</t>
        </is>
      </c>
    </row>
    <row r="27">
      <c r="A27" s="4" t="inlineStr">
        <is>
          <t>V04</t>
        </is>
      </c>
      <c r="B27" s="4" t="inlineStr">
        <is>
          <t>K occurred</t>
        </is>
      </c>
      <c r="C27" s="4" t="inlineStr">
        <is>
          <t>improvement后需不及物谓语。</t>
        </is>
      </c>
      <c r="D27" s="4" t="inlineStr">
        <is>
          <t>2026/06第1套第三方解析 PDF第64页</t>
        </is>
      </c>
      <c r="E27" s="4" t="inlineStr">
        <is>
          <t>第三方参考；第26题已视觉核验</t>
        </is>
      </c>
    </row>
    <row r="28">
      <c r="A28" s="2" t="inlineStr">
        <is>
          <t>V05</t>
        </is>
      </c>
      <c r="B28" s="2" t="inlineStr">
        <is>
          <t>F exactly</t>
        </is>
      </c>
      <c r="C28" s="2" t="inlineStr">
        <is>
          <t>副词修饰define，表示准确界定。</t>
        </is>
      </c>
      <c r="D28" s="2" t="inlineStr">
        <is>
          <t>2026/06第1套第三方解析 PDF第64页</t>
        </is>
      </c>
      <c r="E28" s="2" t="inlineStr">
        <is>
          <t>第三方参考；第26题已视觉核验</t>
        </is>
      </c>
    </row>
    <row r="29">
      <c r="A29" s="4" t="inlineStr">
        <is>
          <t>V06</t>
        </is>
      </c>
      <c r="B29" s="4" t="inlineStr">
        <is>
          <t>O typically</t>
        </is>
      </c>
      <c r="C29" s="4" t="inlineStr">
        <is>
          <t>副词修饰use，表示通常使用。</t>
        </is>
      </c>
      <c r="D29" s="4" t="inlineStr">
        <is>
          <t>2026/06第1套第三方解析 PDF第65页</t>
        </is>
      </c>
      <c r="E29" s="4" t="inlineStr">
        <is>
          <t>第三方参考；第26题已视觉核验</t>
        </is>
      </c>
    </row>
    <row r="30">
      <c r="A30" s="2" t="inlineStr">
        <is>
          <t>V07</t>
        </is>
      </c>
      <c r="B30" s="2" t="inlineStr">
        <is>
          <t>C earned</t>
        </is>
      </c>
      <c r="C30" s="2" t="inlineStr">
        <is>
          <t>过去分词后置修饰money。</t>
        </is>
      </c>
      <c r="D30" s="2" t="inlineStr">
        <is>
          <t>2026/06第1套第三方解析 PDF第65页</t>
        </is>
      </c>
      <c r="E30" s="2" t="inlineStr">
        <is>
          <t>第三方参考；第26题已视觉核验</t>
        </is>
      </c>
    </row>
    <row r="31">
      <c r="A31" s="4" t="inlineStr">
        <is>
          <t>V08</t>
        </is>
      </c>
      <c r="B31" s="4" t="inlineStr">
        <is>
          <t>G exhausting</t>
        </is>
      </c>
      <c r="C31" s="4" t="inlineStr">
        <is>
          <t>形容词修饰debate，表示耗费精力。</t>
        </is>
      </c>
      <c r="D31" s="4" t="inlineStr">
        <is>
          <t>2026/06第1套第三方解析 PDF第66页</t>
        </is>
      </c>
      <c r="E31" s="4" t="inlineStr">
        <is>
          <t>第三方参考；第26题已视觉核验</t>
        </is>
      </c>
    </row>
    <row r="32">
      <c r="A32" s="2" t="inlineStr">
        <is>
          <t>V09</t>
        </is>
      </c>
      <c r="B32" s="2" t="inlineStr">
        <is>
          <t>J interpret</t>
        </is>
      </c>
      <c r="C32" s="2" t="inlineStr">
        <is>
          <t>decided to后接原形，语义为解释影响。</t>
        </is>
      </c>
      <c r="D32" s="2" t="inlineStr">
        <is>
          <t>2026/06第1套第三方解析 PDF第67页</t>
        </is>
      </c>
      <c r="E32" s="2" t="inlineStr">
        <is>
          <t>第三方参考；第26题已视觉核验</t>
        </is>
      </c>
    </row>
    <row r="33">
      <c r="A33" s="4" t="inlineStr">
        <is>
          <t>V10</t>
        </is>
      </c>
      <c r="B33" s="4" t="inlineStr">
        <is>
          <t>D effect</t>
        </is>
      </c>
      <c r="C33" s="4" t="inlineStr">
        <is>
          <t>positive后需名词；positive effect搭配成立。</t>
        </is>
      </c>
      <c r="D33" s="4" t="inlineStr">
        <is>
          <t>2026/06第1套第三方解析 PDF第67页</t>
        </is>
      </c>
      <c r="E33" s="4" t="inlineStr">
        <is>
          <t>第三方参考；第26题已视觉核验</t>
        </is>
      </c>
    </row>
    <row r="34">
      <c r="A34" s="2" t="inlineStr">
        <is>
          <t>M01</t>
        </is>
      </c>
      <c r="B34" s="2" t="inlineStr">
        <is>
          <t>C段</t>
        </is>
      </c>
      <c r="C34" s="2" t="inlineStr">
        <is>
          <t>强锚点；先定位独特词，再核对整句同义改写。</t>
        </is>
      </c>
      <c r="D34" s="2" t="inlineStr">
        <is>
          <t>2026/06第1套第三方解析 PDF第77页</t>
        </is>
      </c>
      <c r="E34" s="2" t="inlineStr">
        <is>
          <t>第三方参考</t>
        </is>
      </c>
    </row>
    <row r="35">
      <c r="A35" s="4" t="inlineStr">
        <is>
          <t>M02</t>
        </is>
      </c>
      <c r="B35" s="4" t="inlineStr">
        <is>
          <t>I段</t>
        </is>
      </c>
      <c r="C35" s="4" t="inlineStr">
        <is>
          <t>强锚点；先定位独特词，再核对整句同义改写。</t>
        </is>
      </c>
      <c r="D35" s="4" t="inlineStr">
        <is>
          <t>2026/06第1套第三方解析 PDF第77页</t>
        </is>
      </c>
      <c r="E35" s="4" t="inlineStr">
        <is>
          <t>第三方参考</t>
        </is>
      </c>
    </row>
    <row r="36">
      <c r="A36" s="2" t="inlineStr">
        <is>
          <t>M03</t>
        </is>
      </c>
      <c r="B36" s="2" t="inlineStr">
        <is>
          <t>E段</t>
        </is>
      </c>
      <c r="C36" s="2" t="inlineStr">
        <is>
          <t>强锚点；先定位独特词，再核对整句同义改写。</t>
        </is>
      </c>
      <c r="D36" s="2" t="inlineStr">
        <is>
          <t>2026/06第1套第三方解析 PDF第78页</t>
        </is>
      </c>
      <c r="E36" s="2" t="inlineStr">
        <is>
          <t>第三方参考</t>
        </is>
      </c>
    </row>
    <row r="37">
      <c r="A37" s="4" t="inlineStr">
        <is>
          <t>M04</t>
        </is>
      </c>
      <c r="B37" s="4" t="inlineStr">
        <is>
          <t>L段</t>
        </is>
      </c>
      <c r="C37" s="4" t="inlineStr">
        <is>
          <t>强锚点；先定位独特词，再核对整句同义改写。</t>
        </is>
      </c>
      <c r="D37" s="4" t="inlineStr">
        <is>
          <t>2026/06第1套第三方解析 PDF第78页</t>
        </is>
      </c>
      <c r="E37" s="4" t="inlineStr">
        <is>
          <t>第三方参考</t>
        </is>
      </c>
    </row>
    <row r="38">
      <c r="A38" s="2" t="inlineStr">
        <is>
          <t>M05</t>
        </is>
      </c>
      <c r="B38" s="2" t="inlineStr">
        <is>
          <t>A段</t>
        </is>
      </c>
      <c r="C38" s="2" t="inlineStr">
        <is>
          <t>强锚点；先定位独特词，再核对整句同义改写。</t>
        </is>
      </c>
      <c r="D38" s="2" t="inlineStr">
        <is>
          <t>2026/06第1套第三方解析 PDF第79页</t>
        </is>
      </c>
      <c r="E38" s="2" t="inlineStr">
        <is>
          <t>第三方参考</t>
        </is>
      </c>
    </row>
    <row r="39">
      <c r="A39" s="4" t="inlineStr">
        <is>
          <t>M06</t>
        </is>
      </c>
      <c r="B39" s="4" t="inlineStr">
        <is>
          <t>F段</t>
        </is>
      </c>
      <c r="C39" s="4" t="inlineStr">
        <is>
          <t>强锚点；先定位独特词，再核对整句同义改写。</t>
        </is>
      </c>
      <c r="D39" s="4" t="inlineStr">
        <is>
          <t>2026/06第1套第三方解析 PDF第79页</t>
        </is>
      </c>
      <c r="E39" s="4" t="inlineStr">
        <is>
          <t>第三方参考</t>
        </is>
      </c>
    </row>
    <row r="40">
      <c r="A40" s="2" t="inlineStr">
        <is>
          <t>M07</t>
        </is>
      </c>
      <c r="B40" s="2" t="inlineStr">
        <is>
          <t>J段</t>
        </is>
      </c>
      <c r="C40" s="2" t="inlineStr">
        <is>
          <t>强锚点；先定位独特词，再核对整句同义改写。</t>
        </is>
      </c>
      <c r="D40" s="2" t="inlineStr">
        <is>
          <t>2026/06第1套第三方解析 PDF第80页</t>
        </is>
      </c>
      <c r="E40" s="2" t="inlineStr">
        <is>
          <t>第三方参考</t>
        </is>
      </c>
    </row>
    <row r="41">
      <c r="A41" s="4" t="inlineStr">
        <is>
          <t>M08</t>
        </is>
      </c>
      <c r="B41" s="4" t="inlineStr">
        <is>
          <t>B段</t>
        </is>
      </c>
      <c r="C41" s="4" t="inlineStr">
        <is>
          <t>强锚点；先定位独特词，再核对整句同义改写。</t>
        </is>
      </c>
      <c r="D41" s="4" t="inlineStr">
        <is>
          <t>2026/06第1套第三方解析 PDF第80页</t>
        </is>
      </c>
      <c r="E41" s="4" t="inlineStr">
        <is>
          <t>第三方参考</t>
        </is>
      </c>
    </row>
    <row r="42">
      <c r="A42" s="2" t="inlineStr">
        <is>
          <t>M09</t>
        </is>
      </c>
      <c r="B42" s="2" t="inlineStr">
        <is>
          <t>D段</t>
        </is>
      </c>
      <c r="C42" s="2" t="inlineStr">
        <is>
          <t>弱锚点；最后做，靠整句语义确认。</t>
        </is>
      </c>
      <c r="D42" s="2" t="inlineStr">
        <is>
          <t>2026/06第1套第三方解析 PDF第81页</t>
        </is>
      </c>
      <c r="E42" s="2" t="inlineStr">
        <is>
          <t>第三方参考</t>
        </is>
      </c>
    </row>
    <row r="43">
      <c r="A43" s="4" t="inlineStr">
        <is>
          <t>M10</t>
        </is>
      </c>
      <c r="B43" s="4" t="inlineStr">
        <is>
          <t>G段</t>
        </is>
      </c>
      <c r="C43" s="4" t="inlineStr">
        <is>
          <t>强锚点；先定位独特词，再核对整句同义改写。</t>
        </is>
      </c>
      <c r="D43" s="4" t="inlineStr">
        <is>
          <t>2026/06第1套第三方解析 PDF第81页</t>
        </is>
      </c>
      <c r="E43" s="4" t="inlineStr">
        <is>
          <t>第三方参考</t>
        </is>
      </c>
    </row>
    <row r="44">
      <c r="A44" s="2" t="inlineStr">
        <is>
          <t>R01</t>
        </is>
      </c>
      <c r="B44" s="2" t="inlineStr">
        <is>
          <t>D</t>
        </is>
      </c>
      <c r="C44" s="2" t="inlineStr">
        <is>
          <t>两难两侧都要保留：最好食物+预算有限。</t>
        </is>
      </c>
      <c r="D44" s="2" t="inlineStr">
        <is>
          <t>2026/06第1套第三方解析 PDF第93页</t>
        </is>
      </c>
      <c r="E44" s="2" t="inlineStr">
        <is>
          <t>第三方参考；第46/51题已视觉核验</t>
        </is>
      </c>
    </row>
    <row r="45">
      <c r="A45" s="4" t="inlineStr">
        <is>
          <t>R02</t>
        </is>
      </c>
      <c r="B45" s="4" t="inlineStr">
        <is>
          <t>A</t>
        </is>
      </c>
      <c r="C45" s="4" t="inlineStr">
        <is>
          <t>won't give a clear-cut answer同义为仍不确定。</t>
        </is>
      </c>
      <c r="D45" s="4" t="inlineStr">
        <is>
          <t>2026/06第1套第三方解析 PDF第94页</t>
        </is>
      </c>
      <c r="E45" s="4" t="inlineStr">
        <is>
          <t>第三方参考；第46/51题已视觉核验</t>
        </is>
      </c>
    </row>
    <row r="46">
      <c r="A46" s="2" t="inlineStr">
        <is>
          <t>R03</t>
        </is>
      </c>
      <c r="B46" s="2" t="inlineStr">
        <is>
          <t>D</t>
        </is>
      </c>
      <c r="C46" s="2" t="inlineStr">
        <is>
          <t>食品安全角度没有实质差别；有机种植也用农药。</t>
        </is>
      </c>
      <c r="D46" s="2" t="inlineStr">
        <is>
          <t>2026/06第1套第三方解析 PDF第95页</t>
        </is>
      </c>
      <c r="E46" s="2" t="inlineStr">
        <is>
          <t>第三方参考；第46/51题已视觉核验</t>
        </is>
      </c>
    </row>
    <row r="47">
      <c r="A47" s="4" t="inlineStr">
        <is>
          <t>R04</t>
        </is>
      </c>
      <c r="B47" s="4" t="inlineStr">
        <is>
          <t>C</t>
        </is>
      </c>
      <c r="C47" s="4" t="inlineStr">
        <is>
          <t>smaller environmental footprint对应环境影响更小。</t>
        </is>
      </c>
      <c r="D47" s="4" t="inlineStr">
        <is>
          <t>2026/06第1套第三方解析 PDF第96页</t>
        </is>
      </c>
      <c r="E47" s="4" t="inlineStr">
        <is>
          <t>第三方参考；第46/51题已视觉核验</t>
        </is>
      </c>
    </row>
    <row r="48">
      <c r="A48" s="2" t="inlineStr">
        <is>
          <t>R05</t>
        </is>
      </c>
      <c r="B48" s="2" t="inlineStr">
        <is>
          <t>B</t>
        </is>
      </c>
      <c r="C48" s="2" t="inlineStr">
        <is>
          <t>更多研究和资金是条件，产量效率提高是结果。</t>
        </is>
      </c>
      <c r="D48" s="2" t="inlineStr">
        <is>
          <t>2026/06第1套第三方解析 PDF第97页</t>
        </is>
      </c>
      <c r="E48" s="2" t="inlineStr">
        <is>
          <t>第三方参考；第46/51题已视觉核验</t>
        </is>
      </c>
    </row>
    <row r="49">
      <c r="A49" s="4" t="inlineStr">
        <is>
          <t>R06</t>
        </is>
      </c>
      <c r="B49" s="4" t="inlineStr">
        <is>
          <t>A</t>
        </is>
      </c>
      <c r="C49" s="4" t="inlineStr">
        <is>
          <t>自私在短期可能有利；short-lived限定时间。</t>
        </is>
      </c>
      <c r="D49" s="4" t="inlineStr">
        <is>
          <t>2026/06第1套第三方解析 PDF第104页</t>
        </is>
      </c>
      <c r="E49" s="4" t="inlineStr">
        <is>
          <t>第三方参考；第46/51题已视觉核验</t>
        </is>
      </c>
    </row>
    <row r="50">
      <c r="A50" s="2" t="inlineStr">
        <is>
          <t>R07</t>
        </is>
      </c>
      <c r="B50" s="2" t="inlineStr">
        <is>
          <t>B</t>
        </is>
      </c>
      <c r="C50" s="2" t="inlineStr">
        <is>
          <t>双胞胎研究提供行为受基因影响的强证据，但非完全决定。</t>
        </is>
      </c>
      <c r="D50" s="2" t="inlineStr">
        <is>
          <t>2026/06第1套第三方解析 PDF第105页</t>
        </is>
      </c>
      <c r="E50" s="2" t="inlineStr">
        <is>
          <t>第三方参考；第46/51题已视觉核验</t>
        </is>
      </c>
    </row>
    <row r="51">
      <c r="A51" s="4" t="inlineStr">
        <is>
          <t>R08</t>
        </is>
      </c>
      <c r="B51" s="4" t="inlineStr">
        <is>
          <t>C</t>
        </is>
      </c>
      <c r="C51" s="4" t="inlineStr">
        <is>
          <t>识别出与利他行为相关的特定基因。</t>
        </is>
      </c>
      <c r="D51" s="4" t="inlineStr">
        <is>
          <t>2026/06第1套第三方解析 PDF第106页</t>
        </is>
      </c>
      <c r="E51" s="4" t="inlineStr">
        <is>
          <t>第三方参考；第46/51题已视觉核验</t>
        </is>
      </c>
    </row>
    <row r="52">
      <c r="A52" s="2" t="inlineStr">
        <is>
          <t>R09</t>
        </is>
      </c>
      <c r="B52" s="2" t="inlineStr">
        <is>
          <t>A</t>
        </is>
      </c>
      <c r="C52" s="2" t="inlineStr">
        <is>
          <t>evolved first among relatives对应起源于血亲个体。</t>
        </is>
      </c>
      <c r="D52" s="2" t="inlineStr">
        <is>
          <t>2026/06第1套第三方解析 PDF第107页</t>
        </is>
      </c>
      <c r="E52" s="2" t="inlineStr">
        <is>
          <t>第三方参考；第46/51题已视觉核验</t>
        </is>
      </c>
    </row>
    <row r="53">
      <c r="A53" s="4" t="inlineStr">
        <is>
          <t>R10</t>
        </is>
      </c>
      <c r="B53" s="4" t="inlineStr">
        <is>
          <t>D</t>
        </is>
      </c>
      <c r="C53" s="4" t="inlineStr">
        <is>
          <t>文化、教育和养育影响合作，因此可后天培养。</t>
        </is>
      </c>
      <c r="D53" s="4" t="inlineStr">
        <is>
          <t>2026/06第1套第三方解析 PDF第108-109页</t>
        </is>
      </c>
      <c r="E53" s="4" t="inlineStr">
        <is>
          <t>第三方参考；第46/51题已视觉核验</t>
        </is>
      </c>
    </row>
    <row r="54">
      <c r="A54" s="2" t="inlineStr">
        <is>
          <t>W01</t>
        </is>
      </c>
      <c r="B54" s="2" t="inlineStr">
        <is>
          <t>任务覆盖必要性+可行性；中心明确；120–180词；限时30分钟。</t>
        </is>
      </c>
      <c r="C54" s="2" t="inlineStr">
        <is>
          <t>中心句可同时给立场与可行条件；只写重要性属于任务遗漏。</t>
        </is>
      </c>
      <c r="D54" s="2" t="inlineStr">
        <is>
          <t>2026/06 第1套 PDF第1页</t>
        </is>
      </c>
      <c r="E54" s="2" t="inlineStr">
        <is>
          <t>题干来自本地卷；评价条件为训练量表</t>
        </is>
      </c>
    </row>
    <row r="55">
      <c r="A55" s="4" t="inlineStr">
        <is>
          <t>W02</t>
        </is>
      </c>
      <c r="B55" s="4" t="inlineStr">
        <is>
          <t>具体应用+学生收益+风险边界；120–180词；30分钟。</t>
        </is>
      </c>
      <c r="C55" s="4" t="inlineStr">
        <is>
          <t>用assist rather than replace human judgment限制过度主张。</t>
        </is>
      </c>
      <c r="D55" s="4" t="inlineStr">
        <is>
          <t>2026/06 第2套 PDF第1页</t>
        </is>
      </c>
      <c r="E55" s="4" t="inlineStr">
        <is>
          <t>题干来自本地卷；评价条件为训练量表</t>
        </is>
      </c>
    </row>
    <row r="56">
      <c r="A56" s="2" t="inlineStr">
        <is>
          <t>W03</t>
        </is>
      </c>
      <c r="B56" s="2" t="inlineStr">
        <is>
          <t>建议必须指向学生会且可执行；120–180词；30分钟。</t>
        </is>
      </c>
      <c r="C56" s="2" t="inlineStr">
        <is>
          <t>机制、行动、反馈比泛泛口号更完整。</t>
        </is>
      </c>
      <c r="D56" s="2" t="inlineStr">
        <is>
          <t>2025/12 第1套 PDF第1页</t>
        </is>
      </c>
      <c r="E56" s="2" t="inlineStr">
        <is>
          <t>题干来自本地卷；评价条件为训练量表</t>
        </is>
      </c>
    </row>
    <row r="57">
      <c r="A57" s="4" t="inlineStr">
        <is>
          <t>T01</t>
        </is>
      </c>
      <c r="B57" s="4" t="inlineStr">
        <is>
          <t>覆盖俗语、教师角色、古代仪式、1985教师节、当代传承。</t>
        </is>
      </c>
      <c r="C57" s="4" t="inlineStr">
        <is>
          <t>先切意群；俗语可意译并说明；日期与因果不得漏。</t>
        </is>
      </c>
      <c r="D57" s="4" t="inlineStr">
        <is>
          <t>2026/06 第1套 PDF第10–11页</t>
        </is>
      </c>
      <c r="E57" s="4" t="inlineStr">
        <is>
          <t>题干来自本地卷；评价条件为训练量表</t>
        </is>
      </c>
    </row>
    <row r="58">
      <c r="A58" s="2" t="inlineStr">
        <is>
          <t>T02</t>
        </is>
      </c>
      <c r="B58" s="2" t="inlineStr">
        <is>
          <t>覆盖文化地位、备菜、座次、席间招待、延续与人际功能。</t>
        </is>
      </c>
      <c r="C58" s="2" t="inlineStr">
        <is>
          <t>按客人口味、座次方位和作用分别成句，避免逐字硬译。</t>
        </is>
      </c>
      <c r="D58" s="2" t="inlineStr">
        <is>
          <t>2026/06 第2套 PDF第10–11页</t>
        </is>
      </c>
      <c r="E58" s="2" t="inlineStr">
        <is>
          <t>题干来自本地卷；评价条件为训练量表</t>
        </is>
      </c>
    </row>
    <row r="59">
      <c r="A59" s="4" t="inlineStr">
        <is>
          <t>T03</t>
        </is>
      </c>
      <c r="B59" s="4" t="inlineStr">
        <is>
          <t>覆盖新趋势、与传统旅游对比、活动与文化理解。</t>
        </is>
      </c>
      <c r="C59" s="4" t="inlineStr">
        <is>
          <t>Unlike引对比；活动列表保持平行结构。</t>
        </is>
      </c>
      <c r="D59" s="4" t="inlineStr">
        <is>
          <t>2025/12 第2套 PDF末页</t>
        </is>
      </c>
      <c r="E59" s="4" t="inlineStr">
        <is>
          <t>题干来自本地卷；评价条件为训练量表</t>
        </is>
      </c>
    </row>
  </sheetData>
  <autoFilter ref="A1:E59"/>
  <pageMargins left="0.25" right="0.25" top="0.4" bottom="0.4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4" customWidth="1" min="5" max="5"/>
    <col width="12" customWidth="1" min="6" max="6"/>
    <col width="12" customWidth="1" min="7" max="7"/>
    <col width="14" customWidth="1" min="8" max="8"/>
    <col width="12" customWidth="1" min="9" max="9"/>
    <col width="25" customWidth="1" min="10" max="10"/>
    <col width="28" customWidth="1" min="11" max="11"/>
  </cols>
  <sheetData>
    <row r="1" ht="32" customHeight="1">
      <c r="A1" s="1" t="inlineStr">
        <is>
          <t>板块</t>
        </is>
      </c>
      <c r="B1" s="1" t="inlineStr">
        <is>
          <t>题库数</t>
        </is>
      </c>
      <c r="C1" s="1" t="inlineStr">
        <is>
          <t>已首答</t>
        </is>
      </c>
      <c r="D1" s="1" t="inlineStr">
        <is>
          <t>首次正确</t>
        </is>
      </c>
      <c r="E1" s="1" t="inlineStr">
        <is>
          <t>首次正确率</t>
        </is>
      </c>
      <c r="F1" s="1" t="inlineStr">
        <is>
          <t>D+7已测</t>
        </is>
      </c>
      <c r="G1" s="1" t="inlineStr">
        <is>
          <t>D+7正确</t>
        </is>
      </c>
      <c r="H1" s="1" t="inlineStr">
        <is>
          <t>D+7正确率</t>
        </is>
      </c>
      <c r="I1" s="1" t="inlineStr">
        <is>
          <t>平均信心</t>
        </is>
      </c>
      <c r="J1" s="1" t="inlineStr">
        <is>
          <t>主要错误</t>
        </is>
      </c>
      <c r="K1" s="1" t="inlineStr">
        <is>
          <t>下一步</t>
        </is>
      </c>
    </row>
    <row r="2">
      <c r="A2" s="2" t="inlineStr">
        <is>
          <t>大纲导学</t>
        </is>
      </c>
      <c r="B2" s="2">
        <f>COUNTIF(题库!$B:$B,A2)</f>
        <v/>
      </c>
      <c r="C2" s="2">
        <f>COUNTIFS(题库!$B:$B,A2,题库!$H:$H,"&lt;&gt;" )</f>
        <v/>
      </c>
      <c r="D2" s="2">
        <f>COUNTIFS(题库!$B:$B,A2,题库!$H:$H,"正确")</f>
        <v/>
      </c>
      <c r="E2" s="8">
        <f>IFERROR(D2/C2,"")</f>
        <v/>
      </c>
      <c r="F2" s="2">
        <f>COUNTIFS(题库!$B:$B,A2,题库!$N:$N,"&lt;&gt;" )</f>
        <v/>
      </c>
      <c r="G2" s="2">
        <f>COUNTIFS(题库!$B:$B,A2,题库!$N:$N,"正确")</f>
        <v/>
      </c>
      <c r="H2" s="8">
        <f>IFERROR(G2/F2,"")</f>
        <v/>
      </c>
      <c r="I2" s="9">
        <f>IFERROR(AVERAGEIF(题库!$B:$B,A2,题库!$I:$I),"")</f>
        <v/>
      </c>
      <c r="J2" s="2" t="n"/>
      <c r="K2" s="2" t="n"/>
    </row>
    <row r="3">
      <c r="A3" s="4" t="inlineStr">
        <is>
          <t>听力</t>
        </is>
      </c>
      <c r="B3" s="4">
        <f>COUNTIF(题库!$B:$B,A3)</f>
        <v/>
      </c>
      <c r="C3" s="4">
        <f>COUNTIFS(题库!$B:$B,A3,题库!$H:$H,"&lt;&gt;" )</f>
        <v/>
      </c>
      <c r="D3" s="4">
        <f>COUNTIFS(题库!$B:$B,A3,题库!$H:$H,"正确")</f>
        <v/>
      </c>
      <c r="E3" s="10">
        <f>IFERROR(D3/C3,"")</f>
        <v/>
      </c>
      <c r="F3" s="4">
        <f>COUNTIFS(题库!$B:$B,A3,题库!$N:$N,"&lt;&gt;" )</f>
        <v/>
      </c>
      <c r="G3" s="4">
        <f>COUNTIFS(题库!$B:$B,A3,题库!$N:$N,"正确")</f>
        <v/>
      </c>
      <c r="H3" s="10">
        <f>IFERROR(G3/F3,"")</f>
        <v/>
      </c>
      <c r="I3" s="11">
        <f>IFERROR(AVERAGEIF(题库!$B:$B,A3,题库!$I:$I),"")</f>
        <v/>
      </c>
      <c r="J3" s="4" t="n"/>
      <c r="K3" s="4" t="n"/>
    </row>
    <row r="4">
      <c r="A4" s="2" t="inlineStr">
        <is>
          <t>选词填空</t>
        </is>
      </c>
      <c r="B4" s="2">
        <f>COUNTIF(题库!$B:$B,A4)</f>
        <v/>
      </c>
      <c r="C4" s="2">
        <f>COUNTIFS(题库!$B:$B,A4,题库!$H:$H,"&lt;&gt;" )</f>
        <v/>
      </c>
      <c r="D4" s="2">
        <f>COUNTIFS(题库!$B:$B,A4,题库!$H:$H,"正确")</f>
        <v/>
      </c>
      <c r="E4" s="8">
        <f>IFERROR(D4/C4,"")</f>
        <v/>
      </c>
      <c r="F4" s="2">
        <f>COUNTIFS(题库!$B:$B,A4,题库!$N:$N,"&lt;&gt;" )</f>
        <v/>
      </c>
      <c r="G4" s="2">
        <f>COUNTIFS(题库!$B:$B,A4,题库!$N:$N,"正确")</f>
        <v/>
      </c>
      <c r="H4" s="8">
        <f>IFERROR(G4/F4,"")</f>
        <v/>
      </c>
      <c r="I4" s="9">
        <f>IFERROR(AVERAGEIF(题库!$B:$B,A4,题库!$I:$I),"")</f>
        <v/>
      </c>
      <c r="J4" s="2" t="n"/>
      <c r="K4" s="2" t="n"/>
    </row>
    <row r="5">
      <c r="A5" s="4" t="inlineStr">
        <is>
          <t>长篇匹配</t>
        </is>
      </c>
      <c r="B5" s="4">
        <f>COUNTIF(题库!$B:$B,A5)</f>
        <v/>
      </c>
      <c r="C5" s="4">
        <f>COUNTIFS(题库!$B:$B,A5,题库!$H:$H,"&lt;&gt;" )</f>
        <v/>
      </c>
      <c r="D5" s="4">
        <f>COUNTIFS(题库!$B:$B,A5,题库!$H:$H,"正确")</f>
        <v/>
      </c>
      <c r="E5" s="10">
        <f>IFERROR(D5/C5,"")</f>
        <v/>
      </c>
      <c r="F5" s="4">
        <f>COUNTIFS(题库!$B:$B,A5,题库!$N:$N,"&lt;&gt;" )</f>
        <v/>
      </c>
      <c r="G5" s="4">
        <f>COUNTIFS(题库!$B:$B,A5,题库!$N:$N,"正确")</f>
        <v/>
      </c>
      <c r="H5" s="10">
        <f>IFERROR(G5/F5,"")</f>
        <v/>
      </c>
      <c r="I5" s="11">
        <f>IFERROR(AVERAGEIF(题库!$B:$B,A5,题库!$I:$I),"")</f>
        <v/>
      </c>
      <c r="J5" s="4" t="n"/>
      <c r="K5" s="4" t="n"/>
    </row>
    <row r="6">
      <c r="A6" s="2" t="inlineStr">
        <is>
          <t>仔细阅读</t>
        </is>
      </c>
      <c r="B6" s="2">
        <f>COUNTIF(题库!$B:$B,A6)</f>
        <v/>
      </c>
      <c r="C6" s="2">
        <f>COUNTIFS(题库!$B:$B,A6,题库!$H:$H,"&lt;&gt;" )</f>
        <v/>
      </c>
      <c r="D6" s="2">
        <f>COUNTIFS(题库!$B:$B,A6,题库!$H:$H,"正确")</f>
        <v/>
      </c>
      <c r="E6" s="8">
        <f>IFERROR(D6/C6,"")</f>
        <v/>
      </c>
      <c r="F6" s="2">
        <f>COUNTIFS(题库!$B:$B,A6,题库!$N:$N,"&lt;&gt;" )</f>
        <v/>
      </c>
      <c r="G6" s="2">
        <f>COUNTIFS(题库!$B:$B,A6,题库!$N:$N,"正确")</f>
        <v/>
      </c>
      <c r="H6" s="8">
        <f>IFERROR(G6/F6,"")</f>
        <v/>
      </c>
      <c r="I6" s="9">
        <f>IFERROR(AVERAGEIF(题库!$B:$B,A6,题库!$I:$I),"")</f>
        <v/>
      </c>
      <c r="J6" s="2" t="n"/>
      <c r="K6" s="2" t="n"/>
    </row>
    <row r="7">
      <c r="A7" s="4" t="inlineStr">
        <is>
          <t>写作</t>
        </is>
      </c>
      <c r="B7" s="4">
        <f>COUNTIF(题库!$B:$B,A7)</f>
        <v/>
      </c>
      <c r="C7" s="4">
        <f>COUNTIFS(题库!$B:$B,A7,题库!$H:$H,"&lt;&gt;" )</f>
        <v/>
      </c>
      <c r="D7" s="4">
        <f>COUNTIFS(题库!$B:$B,A7,题库!$H:$H,"正确")</f>
        <v/>
      </c>
      <c r="E7" s="10">
        <f>IFERROR(D7/C7,"")</f>
        <v/>
      </c>
      <c r="F7" s="4">
        <f>COUNTIFS(题库!$B:$B,A7,题库!$N:$N,"&lt;&gt;" )</f>
        <v/>
      </c>
      <c r="G7" s="4">
        <f>COUNTIFS(题库!$B:$B,A7,题库!$N:$N,"正确")</f>
        <v/>
      </c>
      <c r="H7" s="10">
        <f>IFERROR(G7/F7,"")</f>
        <v/>
      </c>
      <c r="I7" s="11">
        <f>IFERROR(AVERAGEIF(题库!$B:$B,A7,题库!$I:$I),"")</f>
        <v/>
      </c>
      <c r="J7" s="4" t="n"/>
      <c r="K7" s="4" t="n"/>
    </row>
    <row r="8">
      <c r="A8" s="2" t="inlineStr">
        <is>
          <t>翻译</t>
        </is>
      </c>
      <c r="B8" s="2">
        <f>COUNTIF(题库!$B:$B,A8)</f>
        <v/>
      </c>
      <c r="C8" s="2">
        <f>COUNTIFS(题库!$B:$B,A8,题库!$H:$H,"&lt;&gt;" )</f>
        <v/>
      </c>
      <c r="D8" s="2">
        <f>COUNTIFS(题库!$B:$B,A8,题库!$H:$H,"正确")</f>
        <v/>
      </c>
      <c r="E8" s="8">
        <f>IFERROR(D8/C8,"")</f>
        <v/>
      </c>
      <c r="F8" s="2">
        <f>COUNTIFS(题库!$B:$B,A8,题库!$N:$N,"&lt;&gt;" )</f>
        <v/>
      </c>
      <c r="G8" s="2">
        <f>COUNTIFS(题库!$B:$B,A8,题库!$N:$N,"正确")</f>
        <v/>
      </c>
      <c r="H8" s="8">
        <f>IFERROR(G8/F8,"")</f>
        <v/>
      </c>
      <c r="I8" s="9">
        <f>IFERROR(AVERAGEIF(题库!$B:$B,A8,题库!$I:$I),"")</f>
        <v/>
      </c>
      <c r="J8" s="2" t="n"/>
      <c r="K8" s="2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</row>
    <row r="10">
      <c r="A10" s="1" t="inlineStr">
        <is>
          <t>结项指标</t>
        </is>
      </c>
      <c r="B10" s="1" t="inlineStr">
        <is>
          <t>导学后首刷基线</t>
        </is>
      </c>
      <c r="C10" s="1" t="inlineStr">
        <is>
          <t>Day13/14结果</t>
        </is>
      </c>
      <c r="D10" s="1" t="inlineStr">
        <is>
          <t>变化</t>
        </is>
      </c>
      <c r="E10" s="1" t="inlineStr">
        <is>
          <t>口径/证据</t>
        </is>
      </c>
      <c r="F10" s="1" t="n"/>
      <c r="G10" s="1" t="n"/>
      <c r="H10" s="1" t="n"/>
      <c r="I10" s="1" t="n"/>
      <c r="J10" s="1" t="n"/>
      <c r="K10" s="1" t="n"/>
    </row>
    <row r="11">
      <c r="A11" s="4" t="inlineStr">
        <is>
          <t>听力正确率</t>
        </is>
      </c>
      <c r="B11" s="4" t="inlineStr"/>
      <c r="C11" s="4" t="inlineStr"/>
      <c r="D11" s="4">
        <f>IF(OR(B11="",C11=""),"",C11-B11)</f>
        <v/>
      </c>
      <c r="E11" s="4" t="inlineStr">
        <is>
          <t>请写明题量或评分口径</t>
        </is>
      </c>
      <c r="F11" s="4" t="n"/>
      <c r="G11" s="4" t="n"/>
      <c r="H11" s="4" t="n"/>
      <c r="I11" s="4" t="n"/>
      <c r="J11" s="4" t="n"/>
      <c r="K11" s="4" t="n"/>
    </row>
    <row r="12">
      <c r="A12" s="2" t="inlineStr">
        <is>
          <t>阅读正确率</t>
        </is>
      </c>
      <c r="B12" s="2" t="inlineStr"/>
      <c r="C12" s="2" t="inlineStr"/>
      <c r="D12" s="2">
        <f>IF(OR(B12="",C12=""),"",C12-B12)</f>
        <v/>
      </c>
      <c r="E12" s="2" t="inlineStr">
        <is>
          <t>请写明题量或评分口径</t>
        </is>
      </c>
      <c r="F12" s="2" t="n"/>
      <c r="G12" s="2" t="n"/>
      <c r="H12" s="2" t="n"/>
      <c r="I12" s="2" t="n"/>
      <c r="J12" s="2" t="n"/>
      <c r="K12" s="2" t="n"/>
    </row>
    <row r="13">
      <c r="A13" s="4" t="inlineStr">
        <is>
          <t>写作训练量表/8</t>
        </is>
      </c>
      <c r="B13" s="4" t="inlineStr"/>
      <c r="C13" s="4" t="inlineStr"/>
      <c r="D13" s="4">
        <f>IF(OR(B13="",C13=""),"",C13-B13)</f>
        <v/>
      </c>
      <c r="E13" s="4" t="inlineStr">
        <is>
          <t>请写明题量或评分口径</t>
        </is>
      </c>
      <c r="F13" s="4" t="n"/>
      <c r="G13" s="4" t="n"/>
      <c r="H13" s="4" t="n"/>
      <c r="I13" s="4" t="n"/>
      <c r="J13" s="4" t="n"/>
      <c r="K13" s="4" t="n"/>
    </row>
    <row r="14">
      <c r="A14" s="2" t="inlineStr">
        <is>
          <t>翻译训练量表/8</t>
        </is>
      </c>
      <c r="B14" s="2" t="inlineStr"/>
      <c r="C14" s="2" t="inlineStr"/>
      <c r="D14" s="2">
        <f>IF(OR(B14="",C14=""),"",C14-B14)</f>
        <v/>
      </c>
      <c r="E14" s="2" t="inlineStr">
        <is>
          <t>请写明题量或评分口径</t>
        </is>
      </c>
      <c r="F14" s="2" t="n"/>
      <c r="G14" s="2" t="n"/>
      <c r="H14" s="2" t="n"/>
      <c r="I14" s="2" t="n"/>
      <c r="J14" s="2" t="n"/>
      <c r="K14" s="2" t="n"/>
    </row>
    <row r="15">
      <c r="A15" s="4" t="inlineStr">
        <is>
          <t>未完成题数</t>
        </is>
      </c>
      <c r="B15" s="4" t="inlineStr"/>
      <c r="C15" s="4" t="inlineStr"/>
      <c r="D15" s="4">
        <f>IF(OR(B15="",C15=""),"",C15-B15)</f>
        <v/>
      </c>
      <c r="E15" s="4" t="inlineStr">
        <is>
          <t>请写明题量或评分口径</t>
        </is>
      </c>
      <c r="F15" s="4" t="n"/>
      <c r="G15" s="4" t="n"/>
      <c r="H15" s="4" t="n"/>
      <c r="I15" s="4" t="n"/>
      <c r="J15" s="4" t="n"/>
      <c r="K15" s="4" t="n"/>
    </row>
    <row r="16">
      <c r="A16" s="2" t="inlineStr">
        <is>
          <t>重复错误数</t>
        </is>
      </c>
      <c r="B16" s="2" t="inlineStr"/>
      <c r="C16" s="2" t="inlineStr"/>
      <c r="D16" s="2">
        <f>IF(OR(B16="",C16=""),"",C16-B16)</f>
        <v/>
      </c>
      <c r="E16" s="2" t="inlineStr">
        <is>
          <t>请写明题量或评分口径</t>
        </is>
      </c>
      <c r="F16" s="2" t="n"/>
      <c r="G16" s="2" t="n"/>
      <c r="H16" s="2" t="n"/>
      <c r="I16" s="2" t="n"/>
      <c r="J16" s="2" t="n"/>
      <c r="K16" s="2" t="n"/>
    </row>
    <row r="17">
      <c r="A17" s="4" t="inlineStr">
        <is>
          <t>翻译信息遗漏率</t>
        </is>
      </c>
      <c r="B17" s="4" t="inlineStr"/>
      <c r="C17" s="4" t="inlineStr"/>
      <c r="D17" s="4">
        <f>IF(OR(B17="",C17=""),"",C17-B17)</f>
        <v/>
      </c>
      <c r="E17" s="4" t="inlineStr">
        <is>
          <t>请写明题量或评分口径</t>
        </is>
      </c>
      <c r="F17" s="4" t="n"/>
      <c r="G17" s="4" t="n"/>
      <c r="H17" s="4" t="n"/>
      <c r="I17" s="4" t="n"/>
      <c r="J17" s="4" t="n"/>
      <c r="K17" s="4" t="n"/>
    </row>
    <row r="18">
      <c r="A18" s="2" t="inlineStr">
        <is>
          <t>总实际分钟</t>
        </is>
      </c>
      <c r="B18" s="2" t="inlineStr"/>
      <c r="C18" s="2" t="inlineStr"/>
      <c r="D18" s="2">
        <f>IF(OR(B18="",C18=""),"",C18-B18)</f>
        <v/>
      </c>
      <c r="E18" s="2" t="inlineStr">
        <is>
          <t>请写明题量或评分口径</t>
        </is>
      </c>
      <c r="F18" s="2" t="n"/>
      <c r="G18" s="2" t="n"/>
      <c r="H18" s="2" t="n"/>
      <c r="I18" s="2" t="n"/>
      <c r="J18" s="2" t="n"/>
      <c r="K18" s="2" t="n"/>
    </row>
  </sheetData>
  <autoFilter ref="A1:K18"/>
  <pageMargins left="0.25" right="0.25" top="0.4" bottom="0.4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19" customWidth="1" min="3" max="3"/>
    <col width="28" customWidth="1" min="4" max="4"/>
    <col width="27" customWidth="1" min="5" max="5"/>
    <col width="56" customWidth="1" min="6" max="6"/>
  </cols>
  <sheetData>
    <row r="1" ht="32" customHeight="1">
      <c r="A1" s="1" t="inlineStr">
        <is>
          <t>来源ID</t>
        </is>
      </c>
      <c r="B1" s="1" t="inlineStr">
        <is>
          <t>来源</t>
        </is>
      </c>
      <c r="C1" s="1" t="inlineStr">
        <is>
          <t>身份</t>
        </is>
      </c>
      <c r="D1" s="1" t="inlineStr">
        <is>
          <t>用途</t>
        </is>
      </c>
      <c r="E1" s="1" t="inlineStr">
        <is>
          <t>读取状态</t>
        </is>
      </c>
      <c r="F1" s="1" t="inlineStr">
        <is>
          <t>可靠性/限制</t>
        </is>
      </c>
    </row>
    <row r="2">
      <c r="A2" s="2" t="inlineStr">
        <is>
          <t>O1</t>
        </is>
      </c>
      <c r="B2" s="2" t="inlineStr">
        <is>
          <t>教育部教育考试院 CET4笔试页面</t>
        </is>
      </c>
      <c r="C2" s="2" t="inlineStr">
        <is>
          <t>官方</t>
        </is>
      </c>
      <c r="D2" s="2" t="inlineStr">
        <is>
          <t>题型、题数、比例、时长</t>
        </is>
      </c>
      <c r="E2" s="2" t="inlineStr">
        <is>
          <t>deep-read</t>
        </is>
      </c>
      <c r="F2" s="2" t="inlineStr">
        <is>
          <t>当前官网公开结构</t>
        </is>
      </c>
    </row>
    <row r="3">
      <c r="A3" s="4" t="inlineStr">
        <is>
          <t>O2</t>
        </is>
      </c>
      <c r="B3" s="4" t="inlineStr">
        <is>
          <t>全国大学英语四六级考试大纲（2016修订版）</t>
        </is>
      </c>
      <c r="C3" s="4" t="inlineStr">
        <is>
          <t>官方/课程标准</t>
        </is>
      </c>
      <c r="D3" s="4" t="inlineStr">
        <is>
          <t>听读写译能力目标与导学</t>
        </is>
      </c>
      <c r="E3" s="4" t="inlineStr">
        <is>
          <t>targeted</t>
        </is>
      </c>
      <c r="F3" s="4" t="inlineStr">
        <is>
          <t>PDF有复制限制；未绕过，本次依赖官方索引文本</t>
        </is>
      </c>
    </row>
    <row r="4">
      <c r="A4" s="2" t="inlineStr">
        <is>
          <t>O3</t>
        </is>
      </c>
      <c r="B4" s="2" t="inlineStr">
        <is>
          <t>教育部教育考试院 分数解释</t>
        </is>
      </c>
      <c r="C4" s="2" t="inlineStr">
        <is>
          <t>官方</t>
        </is>
      </c>
      <c r="D4" s="2" t="inlineStr">
        <is>
          <t>满分、分项、常模百分位、目标设定</t>
        </is>
      </c>
      <c r="E4" s="2" t="inlineStr">
        <is>
          <t>deep-read</t>
        </is>
      </c>
      <c r="F4" s="2" t="inlineStr">
        <is>
          <t>满分710；常模参照；不设及格线</t>
        </is>
      </c>
    </row>
    <row r="5">
      <c r="A5" s="4" t="inlineStr">
        <is>
          <t>P2512</t>
        </is>
      </c>
      <c r="B5" s="4" t="inlineStr">
        <is>
          <t>materials/CET4/2025/12 三套真题</t>
        </is>
      </c>
      <c r="C5" s="4" t="inlineStr">
        <is>
          <t>来源页标注真题</t>
        </is>
      </c>
      <c r="D5" s="4" t="inlineStr">
        <is>
          <t>诊断、迁移、写作翻译</t>
        </is>
      </c>
      <c r="E5" s="4" t="inlineStr">
        <is>
          <t>提示deep-read；其余mapped/sampled</t>
        </is>
      </c>
      <c r="F5" s="4" t="inlineStr">
        <is>
          <t>来源非考试委员会直接分发</t>
        </is>
      </c>
    </row>
    <row r="6">
      <c r="A6" s="2" t="inlineStr">
        <is>
          <t>A2512</t>
        </is>
      </c>
      <c r="B6" s="2" t="inlineStr">
        <is>
          <t>materials/CET4/2025/12 三套答案解析</t>
        </is>
      </c>
      <c r="C6" s="2" t="inlineStr">
        <is>
          <t>第三方</t>
        </is>
      </c>
      <c r="D6" s="2" t="inlineStr">
        <is>
          <t>复盘</t>
        </is>
      </c>
      <c r="E6" s="2" t="inlineStr">
        <is>
          <t>sampled</t>
        </is>
      </c>
      <c r="F6" s="2" t="inlineStr">
        <is>
          <t>非官方标准答案</t>
        </is>
      </c>
    </row>
    <row r="7">
      <c r="A7" s="4" t="inlineStr">
        <is>
          <t>P2606</t>
        </is>
      </c>
      <c r="B7" s="4" t="inlineStr">
        <is>
          <t>materials/CET4/2026/06 三套真题</t>
        </is>
      </c>
      <c r="C7" s="4" t="inlineStr">
        <is>
          <t>来源页标注真题</t>
        </is>
      </c>
      <c r="D7" s="4" t="inlineStr">
        <is>
          <t>主训练题库</t>
        </is>
      </c>
      <c r="E7" s="4" t="inlineStr">
        <is>
          <t>第1套重点deep-read</t>
        </is>
      </c>
      <c r="F7" s="4" t="inlineStr">
        <is>
          <t>来源非考试委员会直接分发</t>
        </is>
      </c>
    </row>
    <row r="8">
      <c r="A8" s="2" t="inlineStr">
        <is>
          <t>A2606</t>
        </is>
      </c>
      <c r="B8" s="2" t="inlineStr">
        <is>
          <t>materials/CET4/2026/06 三套答案解析</t>
        </is>
      </c>
      <c r="C8" s="2" t="inlineStr">
        <is>
          <t>第三方</t>
        </is>
      </c>
      <c r="D8" s="2" t="inlineStr">
        <is>
          <t>答案与解释</t>
        </is>
      </c>
      <c r="E8" s="2" t="inlineStr">
        <is>
          <t>第1套相关题deep-read</t>
        </is>
      </c>
      <c r="F8" s="2" t="inlineStr">
        <is>
          <t>非官方标准答案；未全卷逐页视觉核验</t>
        </is>
      </c>
    </row>
    <row r="9">
      <c r="A9" s="4" t="inlineStr">
        <is>
          <t>SCOPE</t>
        </is>
      </c>
      <c r="B9" s="4" t="inlineStr">
        <is>
          <t>课堂讲义/指定阅读/课程题集/历次小测</t>
        </is>
      </c>
      <c r="C9" s="4" t="inlineStr">
        <is>
          <t>用户确认无</t>
        </is>
      </c>
      <c r="D9" s="4" t="inlineStr">
        <is>
          <t>范围边界</t>
        </is>
      </c>
      <c r="E9" s="4" t="inlineStr">
        <is>
          <t>not-applicable</t>
        </is>
      </c>
      <c r="F9" s="4" t="inlineStr">
        <is>
          <t>大纲作为课程标准；当前真题库作为训练材料</t>
        </is>
      </c>
    </row>
    <row r="10">
      <c r="A10" s="2" t="inlineStr">
        <is>
          <t>TIME</t>
        </is>
      </c>
      <c r="B10" s="2" t="inlineStr">
        <is>
          <t>个人可用学习时间</t>
        </is>
      </c>
      <c r="C10" s="2" t="inlineStr">
        <is>
          <t>用户确认</t>
        </is>
      </c>
      <c r="D10" s="2" t="inlineStr">
        <is>
          <t>日历容量</t>
        </is>
      </c>
      <c r="E10" s="2" t="inlineStr">
        <is>
          <t>confirmed</t>
        </is>
      </c>
      <c r="F10" s="2" t="inlineStr">
        <is>
          <t>计划保底30分钟；实际弹性容量至少120分钟</t>
        </is>
      </c>
    </row>
    <row r="11">
      <c r="A11" s="4" t="inlineStr">
        <is>
          <t>DATE</t>
        </is>
      </c>
      <c r="B11" s="4" t="inlineStr">
        <is>
          <t>2026-12-12考试日</t>
        </is>
      </c>
      <c r="C11" s="4" t="inlineStr">
        <is>
          <t>用户提供</t>
        </is>
      </c>
      <c r="D11" s="4" t="inlineStr">
        <is>
          <t>阶段路线</t>
        </is>
      </c>
      <c r="E11" s="4" t="inlineStr">
        <is>
          <t>官方当次公告未检索到</t>
        </is>
      </c>
      <c r="F11" s="4" t="inlineStr">
        <is>
          <t>最终以官方公告和准考证为准</t>
        </is>
      </c>
    </row>
  </sheetData>
  <autoFilter ref="A1:F11"/>
  <pageMargins left="0.25" right="0.25" top="0.4" bottom="0.4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2026-09-22T01:21:19Z</dcterms:created>
  <dcterms:modified xmlns:dcterms="http://purl.org/dc/terms/" xmlns:xsi="http://www.w3.org/2001/XMLSchema-instance" xsi:type="dcterms:W3CDTF">2026-09-22T01:21:19Z</dcterms:modified>
</cp:coreProperties>
</file>